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ekhanhlinh/Documents/Profile_LE KHANH LINH/Internship/untitled folder/Danone_internship/"/>
    </mc:Choice>
  </mc:AlternateContent>
  <xr:revisionPtr revIDLastSave="0" documentId="13_ncr:1_{2E0073A2-A3DF-B24B-A92C-FE4BC212DEA2}" xr6:coauthVersionLast="47" xr6:coauthVersionMax="47" xr10:uidLastSave="{00000000-0000-0000-0000-000000000000}"/>
  <bookViews>
    <workbookView xWindow="28800" yWindow="-5820" windowWidth="38400" windowHeight="21100" activeTab="1" xr2:uid="{00000000-000D-0000-FFFF-FFFF00000000}"/>
  </bookViews>
  <sheets>
    <sheet name="Raw Data" sheetId="2" r:id="rId1"/>
    <sheet name="Clean Data" sheetId="4" r:id="rId2"/>
    <sheet name="Pivot Tables" sheetId="7" r:id="rId3"/>
    <sheet name="Assumptions" sheetId="3" r:id="rId4"/>
    <sheet name="Sheet6" sheetId="6" state="hidden" r:id="rId5"/>
  </sheets>
  <definedNames>
    <definedName name="_xlnm._FilterDatabase" localSheetId="1" hidden="1">'Clean Data'!$A$1:$N$296</definedName>
  </definedNames>
  <calcPr calcId="191029"/>
  <pivotCaches>
    <pivotCache cacheId="8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6" i="4" l="1"/>
  <c r="I296" i="4"/>
  <c r="K295" i="4"/>
  <c r="I295" i="4"/>
  <c r="M295" i="4" s="1"/>
  <c r="K294" i="4"/>
  <c r="I294" i="4"/>
  <c r="M294" i="4" s="1"/>
  <c r="K293" i="4"/>
  <c r="I293" i="4"/>
  <c r="M293" i="4" s="1"/>
  <c r="K292" i="4"/>
  <c r="I292" i="4"/>
  <c r="M292" i="4" s="1"/>
  <c r="K291" i="4"/>
  <c r="I291" i="4"/>
  <c r="M291" i="4" s="1"/>
  <c r="K290" i="4"/>
  <c r="I290" i="4"/>
  <c r="M290" i="4" s="1"/>
  <c r="K289" i="4"/>
  <c r="I289" i="4"/>
  <c r="M289" i="4" s="1"/>
  <c r="K288" i="4"/>
  <c r="I288" i="4"/>
  <c r="M288" i="4" s="1"/>
  <c r="K287" i="4"/>
  <c r="I287" i="4"/>
  <c r="M287" i="4" s="1"/>
  <c r="K286" i="4"/>
  <c r="I286" i="4"/>
  <c r="M286" i="4" s="1"/>
  <c r="K285" i="4"/>
  <c r="I285" i="4"/>
  <c r="M285" i="4" s="1"/>
  <c r="K284" i="4"/>
  <c r="I284" i="4"/>
  <c r="M284" i="4" s="1"/>
  <c r="K283" i="4"/>
  <c r="I283" i="4"/>
  <c r="M283" i="4" s="1"/>
  <c r="K282" i="4"/>
  <c r="I282" i="4"/>
  <c r="M282" i="4" s="1"/>
  <c r="K281" i="4"/>
  <c r="N281" i="4" s="1"/>
  <c r="I281" i="4"/>
  <c r="M281" i="4" s="1"/>
  <c r="K280" i="4"/>
  <c r="I280" i="4"/>
  <c r="M280" i="4" s="1"/>
  <c r="K279" i="4"/>
  <c r="I279" i="4"/>
  <c r="M279" i="4" s="1"/>
  <c r="K278" i="4"/>
  <c r="I278" i="4"/>
  <c r="M278" i="4" s="1"/>
  <c r="K277" i="4"/>
  <c r="I277" i="4"/>
  <c r="M277" i="4" s="1"/>
  <c r="K276" i="4"/>
  <c r="I276" i="4"/>
  <c r="K275" i="4"/>
  <c r="I275" i="4"/>
  <c r="M275" i="4" s="1"/>
  <c r="K274" i="4"/>
  <c r="I274" i="4"/>
  <c r="M274" i="4" s="1"/>
  <c r="K273" i="4"/>
  <c r="N273" i="4" s="1"/>
  <c r="I273" i="4"/>
  <c r="M273" i="4" s="1"/>
  <c r="K272" i="4"/>
  <c r="I272" i="4"/>
  <c r="M272" i="4" s="1"/>
  <c r="K271" i="4"/>
  <c r="I271" i="4"/>
  <c r="M271" i="4" s="1"/>
  <c r="K270" i="4"/>
  <c r="N270" i="4" s="1"/>
  <c r="I270" i="4"/>
  <c r="M270" i="4" s="1"/>
  <c r="K269" i="4"/>
  <c r="I269" i="4"/>
  <c r="M269" i="4" s="1"/>
  <c r="K268" i="4"/>
  <c r="I268" i="4"/>
  <c r="M268" i="4" s="1"/>
  <c r="K267" i="4"/>
  <c r="I267" i="4"/>
  <c r="M267" i="4" s="1"/>
  <c r="K266" i="4"/>
  <c r="I266" i="4"/>
  <c r="M266" i="4" s="1"/>
  <c r="K265" i="4"/>
  <c r="I265" i="4"/>
  <c r="M265" i="4" s="1"/>
  <c r="K264" i="4"/>
  <c r="N264" i="4" s="1"/>
  <c r="I264" i="4"/>
  <c r="K263" i="4"/>
  <c r="I263" i="4"/>
  <c r="M263" i="4" s="1"/>
  <c r="K262" i="4"/>
  <c r="I262" i="4"/>
  <c r="M262" i="4" s="1"/>
  <c r="K261" i="4"/>
  <c r="I261" i="4"/>
  <c r="M261" i="4" s="1"/>
  <c r="K260" i="4"/>
  <c r="I260" i="4"/>
  <c r="M260" i="4" s="1"/>
  <c r="K259" i="4"/>
  <c r="I259" i="4"/>
  <c r="K258" i="4"/>
  <c r="N258" i="4" s="1"/>
  <c r="I258" i="4"/>
  <c r="K257" i="4"/>
  <c r="I257" i="4"/>
  <c r="M257" i="4" s="1"/>
  <c r="K256" i="4"/>
  <c r="I256" i="4"/>
  <c r="M256" i="4" s="1"/>
  <c r="K255" i="4"/>
  <c r="I255" i="4"/>
  <c r="M255" i="4" s="1"/>
  <c r="K254" i="4"/>
  <c r="I254" i="4"/>
  <c r="M254" i="4" s="1"/>
  <c r="K253" i="4"/>
  <c r="I253" i="4"/>
  <c r="M253" i="4" s="1"/>
  <c r="K252" i="4"/>
  <c r="I252" i="4"/>
  <c r="M252" i="4" s="1"/>
  <c r="K251" i="4"/>
  <c r="I251" i="4"/>
  <c r="M251" i="4" s="1"/>
  <c r="K250" i="4"/>
  <c r="I250" i="4"/>
  <c r="M250" i="4" s="1"/>
  <c r="K249" i="4"/>
  <c r="N249" i="4" s="1"/>
  <c r="I249" i="4"/>
  <c r="M249" i="4" s="1"/>
  <c r="K248" i="4"/>
  <c r="I248" i="4"/>
  <c r="M248" i="4" s="1"/>
  <c r="K247" i="4"/>
  <c r="I247" i="4"/>
  <c r="M247" i="4" s="1"/>
  <c r="K246" i="4"/>
  <c r="I246" i="4"/>
  <c r="M246" i="4" s="1"/>
  <c r="K245" i="4"/>
  <c r="I245" i="4"/>
  <c r="M245" i="4" s="1"/>
  <c r="K244" i="4"/>
  <c r="I244" i="4"/>
  <c r="M244" i="4" s="1"/>
  <c r="K243" i="4"/>
  <c r="I243" i="4"/>
  <c r="M243" i="4" s="1"/>
  <c r="K242" i="4"/>
  <c r="I242" i="4"/>
  <c r="M242" i="4" s="1"/>
  <c r="K241" i="4"/>
  <c r="I241" i="4"/>
  <c r="M241" i="4" s="1"/>
  <c r="K240" i="4"/>
  <c r="I240" i="4"/>
  <c r="M240" i="4" s="1"/>
  <c r="K239" i="4"/>
  <c r="N239" i="4" s="1"/>
  <c r="I239" i="4"/>
  <c r="M239" i="4" s="1"/>
  <c r="K238" i="4"/>
  <c r="I238" i="4"/>
  <c r="M238" i="4" s="1"/>
  <c r="K237" i="4"/>
  <c r="I237" i="4"/>
  <c r="M237" i="4" s="1"/>
  <c r="K236" i="4"/>
  <c r="I236" i="4"/>
  <c r="M236" i="4" s="1"/>
  <c r="K235" i="4"/>
  <c r="I235" i="4"/>
  <c r="M235" i="4" s="1"/>
  <c r="K234" i="4"/>
  <c r="I234" i="4"/>
  <c r="M234" i="4" s="1"/>
  <c r="K233" i="4"/>
  <c r="I233" i="4"/>
  <c r="M233" i="4" s="1"/>
  <c r="K232" i="4"/>
  <c r="I232" i="4"/>
  <c r="M232" i="4" s="1"/>
  <c r="K231" i="4"/>
  <c r="I231" i="4"/>
  <c r="M231" i="4" s="1"/>
  <c r="K230" i="4"/>
  <c r="I230" i="4"/>
  <c r="M230" i="4" s="1"/>
  <c r="K229" i="4"/>
  <c r="I229" i="4"/>
  <c r="M229" i="4" s="1"/>
  <c r="K228" i="4"/>
  <c r="I228" i="4"/>
  <c r="M228" i="4" s="1"/>
  <c r="K227" i="4"/>
  <c r="N227" i="4" s="1"/>
  <c r="I227" i="4"/>
  <c r="M227" i="4" s="1"/>
  <c r="K226" i="4"/>
  <c r="I226" i="4"/>
  <c r="M226" i="4" s="1"/>
  <c r="K225" i="4"/>
  <c r="I225" i="4"/>
  <c r="M225" i="4" s="1"/>
  <c r="K224" i="4"/>
  <c r="N224" i="4" s="1"/>
  <c r="I224" i="4"/>
  <c r="M224" i="4" s="1"/>
  <c r="K223" i="4"/>
  <c r="I223" i="4"/>
  <c r="M223" i="4" s="1"/>
  <c r="K222" i="4"/>
  <c r="I222" i="4"/>
  <c r="M222" i="4" s="1"/>
  <c r="K221" i="4"/>
  <c r="I221" i="4"/>
  <c r="M221" i="4" s="1"/>
  <c r="K220" i="4"/>
  <c r="I220" i="4"/>
  <c r="M220" i="4" s="1"/>
  <c r="K219" i="4"/>
  <c r="I219" i="4"/>
  <c r="M219" i="4" s="1"/>
  <c r="K218" i="4"/>
  <c r="I218" i="4"/>
  <c r="M218" i="4" s="1"/>
  <c r="K217" i="4"/>
  <c r="N217" i="4" s="1"/>
  <c r="I217" i="4"/>
  <c r="M217" i="4" s="1"/>
  <c r="K216" i="4"/>
  <c r="N216" i="4" s="1"/>
  <c r="I216" i="4"/>
  <c r="M216" i="4" s="1"/>
  <c r="K215" i="4"/>
  <c r="I215" i="4"/>
  <c r="M215" i="4" s="1"/>
  <c r="K214" i="4"/>
  <c r="N214" i="4" s="1"/>
  <c r="I214" i="4"/>
  <c r="M214" i="4" s="1"/>
  <c r="K213" i="4"/>
  <c r="I213" i="4"/>
  <c r="M213" i="4" s="1"/>
  <c r="K212" i="4"/>
  <c r="I212" i="4"/>
  <c r="M212" i="4" s="1"/>
  <c r="K211" i="4"/>
  <c r="I211" i="4"/>
  <c r="M211" i="4" s="1"/>
  <c r="K210" i="4"/>
  <c r="I210" i="4"/>
  <c r="M210" i="4" s="1"/>
  <c r="K209" i="4"/>
  <c r="I209" i="4"/>
  <c r="M209" i="4" s="1"/>
  <c r="K208" i="4"/>
  <c r="N208" i="4" s="1"/>
  <c r="I208" i="4"/>
  <c r="M208" i="4" s="1"/>
  <c r="K207" i="4"/>
  <c r="I207" i="4"/>
  <c r="M207" i="4" s="1"/>
  <c r="K206" i="4"/>
  <c r="I206" i="4"/>
  <c r="M206" i="4" s="1"/>
  <c r="K205" i="4"/>
  <c r="I205" i="4"/>
  <c r="M205" i="4" s="1"/>
  <c r="K204" i="4"/>
  <c r="I204" i="4"/>
  <c r="M204" i="4" s="1"/>
  <c r="K203" i="4"/>
  <c r="I203" i="4"/>
  <c r="M203" i="4" s="1"/>
  <c r="K202" i="4"/>
  <c r="I202" i="4"/>
  <c r="M202" i="4" s="1"/>
  <c r="K201" i="4"/>
  <c r="I201" i="4"/>
  <c r="M201" i="4" s="1"/>
  <c r="K200" i="4"/>
  <c r="I200" i="4"/>
  <c r="M200" i="4" s="1"/>
  <c r="K199" i="4"/>
  <c r="I199" i="4"/>
  <c r="M199" i="4" s="1"/>
  <c r="K198" i="4"/>
  <c r="I198" i="4"/>
  <c r="M198" i="4" s="1"/>
  <c r="K197" i="4"/>
  <c r="I197" i="4"/>
  <c r="M197" i="4" s="1"/>
  <c r="K196" i="4"/>
  <c r="N196" i="4" s="1"/>
  <c r="I196" i="4"/>
  <c r="M196" i="4" s="1"/>
  <c r="K195" i="4"/>
  <c r="I195" i="4"/>
  <c r="M195" i="4" s="1"/>
  <c r="K194" i="4"/>
  <c r="I194" i="4"/>
  <c r="M194" i="4" s="1"/>
  <c r="K193" i="4"/>
  <c r="I193" i="4"/>
  <c r="M193" i="4" s="1"/>
  <c r="K192" i="4"/>
  <c r="I192" i="4"/>
  <c r="M192" i="4" s="1"/>
  <c r="K191" i="4"/>
  <c r="I191" i="4"/>
  <c r="M191" i="4" s="1"/>
  <c r="K190" i="4"/>
  <c r="I190" i="4"/>
  <c r="M190" i="4" s="1"/>
  <c r="K189" i="4"/>
  <c r="I189" i="4"/>
  <c r="M189" i="4" s="1"/>
  <c r="K188" i="4"/>
  <c r="I188" i="4"/>
  <c r="M188" i="4" s="1"/>
  <c r="K187" i="4"/>
  <c r="I187" i="4"/>
  <c r="M187" i="4" s="1"/>
  <c r="K186" i="4"/>
  <c r="I186" i="4"/>
  <c r="M186" i="4" s="1"/>
  <c r="K185" i="4"/>
  <c r="I185" i="4"/>
  <c r="M185" i="4" s="1"/>
  <c r="K184" i="4"/>
  <c r="N184" i="4" s="1"/>
  <c r="I184" i="4"/>
  <c r="M184" i="4" s="1"/>
  <c r="K183" i="4"/>
  <c r="I183" i="4"/>
  <c r="M183" i="4" s="1"/>
  <c r="K182" i="4"/>
  <c r="I182" i="4"/>
  <c r="M182" i="4" s="1"/>
  <c r="K181" i="4"/>
  <c r="I181" i="4"/>
  <c r="M181" i="4" s="1"/>
  <c r="K180" i="4"/>
  <c r="I180" i="4"/>
  <c r="M180" i="4" s="1"/>
  <c r="K179" i="4"/>
  <c r="I179" i="4"/>
  <c r="M179" i="4" s="1"/>
  <c r="K178" i="4"/>
  <c r="I178" i="4"/>
  <c r="M178" i="4" s="1"/>
  <c r="K177" i="4"/>
  <c r="I177" i="4"/>
  <c r="M177" i="4" s="1"/>
  <c r="K176" i="4"/>
  <c r="N176" i="4" s="1"/>
  <c r="I176" i="4"/>
  <c r="M176" i="4" s="1"/>
  <c r="K175" i="4"/>
  <c r="I175" i="4"/>
  <c r="M175" i="4" s="1"/>
  <c r="K174" i="4"/>
  <c r="I174" i="4"/>
  <c r="M174" i="4" s="1"/>
  <c r="K173" i="4"/>
  <c r="I173" i="4"/>
  <c r="M173" i="4" s="1"/>
  <c r="K172" i="4"/>
  <c r="N172" i="4" s="1"/>
  <c r="I172" i="4"/>
  <c r="M172" i="4" s="1"/>
  <c r="K171" i="4"/>
  <c r="I171" i="4"/>
  <c r="M171" i="4" s="1"/>
  <c r="K170" i="4"/>
  <c r="I170" i="4"/>
  <c r="M170" i="4" s="1"/>
  <c r="K169" i="4"/>
  <c r="I169" i="4"/>
  <c r="M169" i="4" s="1"/>
  <c r="K168" i="4"/>
  <c r="N168" i="4" s="1"/>
  <c r="I168" i="4"/>
  <c r="K167" i="4"/>
  <c r="N167" i="4" s="1"/>
  <c r="I167" i="4"/>
  <c r="M167" i="4" s="1"/>
  <c r="K166" i="4"/>
  <c r="I166" i="4"/>
  <c r="M166" i="4" s="1"/>
  <c r="K165" i="4"/>
  <c r="I165" i="4"/>
  <c r="M165" i="4" s="1"/>
  <c r="K164" i="4"/>
  <c r="I164" i="4"/>
  <c r="M164" i="4" s="1"/>
  <c r="K163" i="4"/>
  <c r="I163" i="4"/>
  <c r="M163" i="4" s="1"/>
  <c r="K162" i="4"/>
  <c r="I162" i="4"/>
  <c r="M162" i="4" s="1"/>
  <c r="K161" i="4"/>
  <c r="I161" i="4"/>
  <c r="M161" i="4" s="1"/>
  <c r="K160" i="4"/>
  <c r="I160" i="4"/>
  <c r="M160" i="4" s="1"/>
  <c r="K159" i="4"/>
  <c r="I159" i="4"/>
  <c r="M159" i="4" s="1"/>
  <c r="K158" i="4"/>
  <c r="I158" i="4"/>
  <c r="M158" i="4" s="1"/>
  <c r="K157" i="4"/>
  <c r="I157" i="4"/>
  <c r="M157" i="4" s="1"/>
  <c r="K156" i="4"/>
  <c r="I156" i="4"/>
  <c r="M156" i="4" s="1"/>
  <c r="K155" i="4"/>
  <c r="N155" i="4" s="1"/>
  <c r="I155" i="4"/>
  <c r="M155" i="4" s="1"/>
  <c r="K154" i="4"/>
  <c r="I154" i="4"/>
  <c r="M154" i="4" s="1"/>
  <c r="K153" i="4"/>
  <c r="I153" i="4"/>
  <c r="M153" i="4" s="1"/>
  <c r="K152" i="4"/>
  <c r="I152" i="4"/>
  <c r="M152" i="4" s="1"/>
  <c r="K151" i="4"/>
  <c r="I151" i="4"/>
  <c r="M151" i="4" s="1"/>
  <c r="K150" i="4"/>
  <c r="N150" i="4" s="1"/>
  <c r="I150" i="4"/>
  <c r="M150" i="4" s="1"/>
  <c r="K149" i="4"/>
  <c r="I149" i="4"/>
  <c r="M149" i="4" s="1"/>
  <c r="K148" i="4"/>
  <c r="I148" i="4"/>
  <c r="M148" i="4" s="1"/>
  <c r="K147" i="4"/>
  <c r="I147" i="4"/>
  <c r="M147" i="4" s="1"/>
  <c r="K146" i="4"/>
  <c r="I146" i="4"/>
  <c r="M146" i="4" s="1"/>
  <c r="K145" i="4"/>
  <c r="N145" i="4" s="1"/>
  <c r="I145" i="4"/>
  <c r="M145" i="4" s="1"/>
  <c r="K144" i="4"/>
  <c r="N144" i="4" s="1"/>
  <c r="I144" i="4"/>
  <c r="K143" i="4"/>
  <c r="I143" i="4"/>
  <c r="M143" i="4" s="1"/>
  <c r="K142" i="4"/>
  <c r="I142" i="4"/>
  <c r="M142" i="4" s="1"/>
  <c r="K141" i="4"/>
  <c r="I141" i="4"/>
  <c r="M141" i="4" s="1"/>
  <c r="K140" i="4"/>
  <c r="N140" i="4" s="1"/>
  <c r="I140" i="4"/>
  <c r="M140" i="4" s="1"/>
  <c r="K139" i="4"/>
  <c r="I139" i="4"/>
  <c r="M139" i="4" s="1"/>
  <c r="K138" i="4"/>
  <c r="I138" i="4"/>
  <c r="M138" i="4" s="1"/>
  <c r="K137" i="4"/>
  <c r="N137" i="4" s="1"/>
  <c r="I137" i="4"/>
  <c r="M137" i="4" s="1"/>
  <c r="K136" i="4"/>
  <c r="I136" i="4"/>
  <c r="M136" i="4" s="1"/>
  <c r="K135" i="4"/>
  <c r="I135" i="4"/>
  <c r="M135" i="4" s="1"/>
  <c r="K134" i="4"/>
  <c r="N134" i="4" s="1"/>
  <c r="I134" i="4"/>
  <c r="M134" i="4" s="1"/>
  <c r="K133" i="4"/>
  <c r="I133" i="4"/>
  <c r="M133" i="4" s="1"/>
  <c r="K132" i="4"/>
  <c r="I132" i="4"/>
  <c r="M132" i="4" s="1"/>
  <c r="K131" i="4"/>
  <c r="I131" i="4"/>
  <c r="M131" i="4" s="1"/>
  <c r="K130" i="4"/>
  <c r="N130" i="4" s="1"/>
  <c r="I130" i="4"/>
  <c r="M130" i="4" s="1"/>
  <c r="K129" i="4"/>
  <c r="I129" i="4"/>
  <c r="M129" i="4" s="1"/>
  <c r="K128" i="4"/>
  <c r="I128" i="4"/>
  <c r="M128" i="4" s="1"/>
  <c r="K127" i="4"/>
  <c r="I127" i="4"/>
  <c r="M127" i="4" s="1"/>
  <c r="K126" i="4"/>
  <c r="I126" i="4"/>
  <c r="M126" i="4" s="1"/>
  <c r="K125" i="4"/>
  <c r="I125" i="4"/>
  <c r="M125" i="4" s="1"/>
  <c r="K124" i="4"/>
  <c r="I124" i="4"/>
  <c r="M124" i="4" s="1"/>
  <c r="K123" i="4"/>
  <c r="I123" i="4"/>
  <c r="M123" i="4" s="1"/>
  <c r="K122" i="4"/>
  <c r="I122" i="4"/>
  <c r="M122" i="4" s="1"/>
  <c r="K121" i="4"/>
  <c r="I121" i="4"/>
  <c r="M121" i="4" s="1"/>
  <c r="K120" i="4"/>
  <c r="I120" i="4"/>
  <c r="M120" i="4" s="1"/>
  <c r="K119" i="4"/>
  <c r="N119" i="4" s="1"/>
  <c r="I119" i="4"/>
  <c r="M119" i="4" s="1"/>
  <c r="K118" i="4"/>
  <c r="I118" i="4"/>
  <c r="M118" i="4" s="1"/>
  <c r="K117" i="4"/>
  <c r="N117" i="4" s="1"/>
  <c r="I117" i="4"/>
  <c r="K116" i="4"/>
  <c r="I116" i="4"/>
  <c r="M116" i="4" s="1"/>
  <c r="K115" i="4"/>
  <c r="N115" i="4" s="1"/>
  <c r="I115" i="4"/>
  <c r="M115" i="4" s="1"/>
  <c r="K114" i="4"/>
  <c r="I114" i="4"/>
  <c r="K113" i="4"/>
  <c r="I113" i="4"/>
  <c r="M113" i="4" s="1"/>
  <c r="K112" i="4"/>
  <c r="I112" i="4"/>
  <c r="M112" i="4" s="1"/>
  <c r="K111" i="4"/>
  <c r="I111" i="4"/>
  <c r="K110" i="4"/>
  <c r="I110" i="4"/>
  <c r="M110" i="4" s="1"/>
  <c r="K109" i="4"/>
  <c r="I109" i="4"/>
  <c r="M109" i="4" s="1"/>
  <c r="K108" i="4"/>
  <c r="I108" i="4"/>
  <c r="M108" i="4" s="1"/>
  <c r="K107" i="4"/>
  <c r="I107" i="4"/>
  <c r="M107" i="4" s="1"/>
  <c r="K106" i="4"/>
  <c r="I106" i="4"/>
  <c r="K105" i="4"/>
  <c r="I105" i="4"/>
  <c r="M105" i="4" s="1"/>
  <c r="K104" i="4"/>
  <c r="I104" i="4"/>
  <c r="M104" i="4" s="1"/>
  <c r="K103" i="4"/>
  <c r="I103" i="4"/>
  <c r="M103" i="4" s="1"/>
  <c r="K102" i="4"/>
  <c r="N102" i="4" s="1"/>
  <c r="I102" i="4"/>
  <c r="M102" i="4" s="1"/>
  <c r="K101" i="4"/>
  <c r="I101" i="4"/>
  <c r="M101" i="4" s="1"/>
  <c r="K100" i="4"/>
  <c r="N100" i="4" s="1"/>
  <c r="I100" i="4"/>
  <c r="K99" i="4"/>
  <c r="N99" i="4" s="1"/>
  <c r="I99" i="4"/>
  <c r="K98" i="4"/>
  <c r="I98" i="4"/>
  <c r="M98" i="4" s="1"/>
  <c r="K97" i="4"/>
  <c r="I97" i="4"/>
  <c r="M97" i="4" s="1"/>
  <c r="K96" i="4"/>
  <c r="I96" i="4"/>
  <c r="M96" i="4" s="1"/>
  <c r="K95" i="4"/>
  <c r="I95" i="4"/>
  <c r="M95" i="4" s="1"/>
  <c r="K94" i="4"/>
  <c r="I94" i="4"/>
  <c r="M94" i="4" s="1"/>
  <c r="K93" i="4"/>
  <c r="I93" i="4"/>
  <c r="M93" i="4" s="1"/>
  <c r="K92" i="4"/>
  <c r="I92" i="4"/>
  <c r="M92" i="4" s="1"/>
  <c r="K91" i="4"/>
  <c r="I91" i="4"/>
  <c r="M91" i="4" s="1"/>
  <c r="K90" i="4"/>
  <c r="N90" i="4" s="1"/>
  <c r="I90" i="4"/>
  <c r="M90" i="4" s="1"/>
  <c r="K89" i="4"/>
  <c r="I89" i="4"/>
  <c r="M89" i="4" s="1"/>
  <c r="K88" i="4"/>
  <c r="I88" i="4"/>
  <c r="M88" i="4" s="1"/>
  <c r="K87" i="4"/>
  <c r="N87" i="4" s="1"/>
  <c r="I87" i="4"/>
  <c r="M87" i="4" s="1"/>
  <c r="K86" i="4"/>
  <c r="I86" i="4"/>
  <c r="M86" i="4" s="1"/>
  <c r="K85" i="4"/>
  <c r="N85" i="4" s="1"/>
  <c r="I85" i="4"/>
  <c r="M85" i="4" s="1"/>
  <c r="K84" i="4"/>
  <c r="I84" i="4"/>
  <c r="M84" i="4" s="1"/>
  <c r="K83" i="4"/>
  <c r="I83" i="4"/>
  <c r="M83" i="4" s="1"/>
  <c r="K82" i="4"/>
  <c r="N82" i="4" s="1"/>
  <c r="I82" i="4"/>
  <c r="M82" i="4" s="1"/>
  <c r="K81" i="4"/>
  <c r="I81" i="4"/>
  <c r="M81" i="4" s="1"/>
  <c r="K80" i="4"/>
  <c r="I80" i="4"/>
  <c r="M80" i="4" s="1"/>
  <c r="K79" i="4"/>
  <c r="I79" i="4"/>
  <c r="M79" i="4" s="1"/>
  <c r="K78" i="4"/>
  <c r="I78" i="4"/>
  <c r="M78" i="4" s="1"/>
  <c r="K77" i="4"/>
  <c r="I77" i="4"/>
  <c r="M77" i="4" s="1"/>
  <c r="K76" i="4"/>
  <c r="I76" i="4"/>
  <c r="M76" i="4" s="1"/>
  <c r="K75" i="4"/>
  <c r="I75" i="4"/>
  <c r="M75" i="4" s="1"/>
  <c r="K74" i="4"/>
  <c r="I74" i="4"/>
  <c r="M74" i="4" s="1"/>
  <c r="K73" i="4"/>
  <c r="I73" i="4"/>
  <c r="M73" i="4" s="1"/>
  <c r="K72" i="4"/>
  <c r="I72" i="4"/>
  <c r="M72" i="4" s="1"/>
  <c r="K71" i="4"/>
  <c r="I71" i="4"/>
  <c r="M71" i="4" s="1"/>
  <c r="K70" i="4"/>
  <c r="I70" i="4"/>
  <c r="M70" i="4" s="1"/>
  <c r="K69" i="4"/>
  <c r="I69" i="4"/>
  <c r="M69" i="4" s="1"/>
  <c r="K68" i="4"/>
  <c r="I68" i="4"/>
  <c r="M68" i="4" s="1"/>
  <c r="K67" i="4"/>
  <c r="I67" i="4"/>
  <c r="M67" i="4" s="1"/>
  <c r="K66" i="4"/>
  <c r="I66" i="4"/>
  <c r="M66" i="4" s="1"/>
  <c r="K65" i="4"/>
  <c r="I65" i="4"/>
  <c r="M65" i="4" s="1"/>
  <c r="K64" i="4"/>
  <c r="I64" i="4"/>
  <c r="M64" i="4" s="1"/>
  <c r="K63" i="4"/>
  <c r="I63" i="4"/>
  <c r="M63" i="4" s="1"/>
  <c r="K62" i="4"/>
  <c r="I62" i="4"/>
  <c r="M62" i="4" s="1"/>
  <c r="K61" i="4"/>
  <c r="I61" i="4"/>
  <c r="M61" i="4" s="1"/>
  <c r="K60" i="4"/>
  <c r="I60" i="4"/>
  <c r="M60" i="4" s="1"/>
  <c r="K59" i="4"/>
  <c r="I59" i="4"/>
  <c r="M59" i="4" s="1"/>
  <c r="K58" i="4"/>
  <c r="I58" i="4"/>
  <c r="M58" i="4" s="1"/>
  <c r="K57" i="4"/>
  <c r="I57" i="4"/>
  <c r="M57" i="4" s="1"/>
  <c r="K56" i="4"/>
  <c r="I56" i="4"/>
  <c r="M56" i="4" s="1"/>
  <c r="K55" i="4"/>
  <c r="I55" i="4"/>
  <c r="M55" i="4" s="1"/>
  <c r="K54" i="4"/>
  <c r="I54" i="4"/>
  <c r="M54" i="4" s="1"/>
  <c r="K53" i="4"/>
  <c r="I53" i="4"/>
  <c r="M53" i="4" s="1"/>
  <c r="K52" i="4"/>
  <c r="I52" i="4"/>
  <c r="M52" i="4" s="1"/>
  <c r="K51" i="4"/>
  <c r="I51" i="4"/>
  <c r="M51" i="4" s="1"/>
  <c r="K50" i="4"/>
  <c r="I50" i="4"/>
  <c r="M50" i="4" s="1"/>
  <c r="K49" i="4"/>
  <c r="I49" i="4"/>
  <c r="M49" i="4" s="1"/>
  <c r="K48" i="4"/>
  <c r="I48" i="4"/>
  <c r="M48" i="4" s="1"/>
  <c r="K47" i="4"/>
  <c r="I47" i="4"/>
  <c r="M47" i="4" s="1"/>
  <c r="K46" i="4"/>
  <c r="I46" i="4"/>
  <c r="M46" i="4" s="1"/>
  <c r="K45" i="4"/>
  <c r="I45" i="4"/>
  <c r="M45" i="4" s="1"/>
  <c r="K44" i="4"/>
  <c r="I44" i="4"/>
  <c r="K43" i="4"/>
  <c r="I43" i="4"/>
  <c r="M43" i="4" s="1"/>
  <c r="K42" i="4"/>
  <c r="I42" i="4"/>
  <c r="M42" i="4" s="1"/>
  <c r="K41" i="4"/>
  <c r="I41" i="4"/>
  <c r="K40" i="4"/>
  <c r="I40" i="4"/>
  <c r="K39" i="4"/>
  <c r="I39" i="4"/>
  <c r="M39" i="4" s="1"/>
  <c r="K38" i="4"/>
  <c r="I38" i="4"/>
  <c r="M38" i="4" s="1"/>
  <c r="K37" i="4"/>
  <c r="I37" i="4"/>
  <c r="M37" i="4" s="1"/>
  <c r="K36" i="4"/>
  <c r="I36" i="4"/>
  <c r="M36" i="4" s="1"/>
  <c r="K35" i="4"/>
  <c r="I35" i="4"/>
  <c r="M35" i="4" s="1"/>
  <c r="K34" i="4"/>
  <c r="I34" i="4"/>
  <c r="M34" i="4" s="1"/>
  <c r="K33" i="4"/>
  <c r="I33" i="4"/>
  <c r="M33" i="4" s="1"/>
  <c r="K32" i="4"/>
  <c r="I32" i="4"/>
  <c r="K31" i="4"/>
  <c r="I31" i="4"/>
  <c r="M31" i="4" s="1"/>
  <c r="K30" i="4"/>
  <c r="I30" i="4"/>
  <c r="M30" i="4" s="1"/>
  <c r="K29" i="4"/>
  <c r="I29" i="4"/>
  <c r="M29" i="4" s="1"/>
  <c r="K28" i="4"/>
  <c r="I28" i="4"/>
  <c r="M28" i="4" s="1"/>
  <c r="K27" i="4"/>
  <c r="I27" i="4"/>
  <c r="M27" i="4" s="1"/>
  <c r="K26" i="4"/>
  <c r="I26" i="4"/>
  <c r="M26" i="4" s="1"/>
  <c r="K25" i="4"/>
  <c r="I25" i="4"/>
  <c r="M25" i="4" s="1"/>
  <c r="K24" i="4"/>
  <c r="I24" i="4"/>
  <c r="M24" i="4" s="1"/>
  <c r="K23" i="4"/>
  <c r="I23" i="4"/>
  <c r="M23" i="4" s="1"/>
  <c r="K22" i="4"/>
  <c r="I22" i="4"/>
  <c r="M22" i="4" s="1"/>
  <c r="K21" i="4"/>
  <c r="I21" i="4"/>
  <c r="M21" i="4" s="1"/>
  <c r="K20" i="4"/>
  <c r="I20" i="4"/>
  <c r="M20" i="4" s="1"/>
  <c r="K19" i="4"/>
  <c r="I19" i="4"/>
  <c r="M19" i="4" s="1"/>
  <c r="K18" i="4"/>
  <c r="I18" i="4"/>
  <c r="M18" i="4" s="1"/>
  <c r="K17" i="4"/>
  <c r="I17" i="4"/>
  <c r="M17" i="4" s="1"/>
  <c r="K16" i="4"/>
  <c r="I16" i="4"/>
  <c r="M16" i="4" s="1"/>
  <c r="K15" i="4"/>
  <c r="I15" i="4"/>
  <c r="M15" i="4" s="1"/>
  <c r="K14" i="4"/>
  <c r="I14" i="4"/>
  <c r="M14" i="4" s="1"/>
  <c r="K13" i="4"/>
  <c r="I13" i="4"/>
  <c r="M13" i="4" s="1"/>
  <c r="K12" i="4"/>
  <c r="I12" i="4"/>
  <c r="M12" i="4" s="1"/>
  <c r="K11" i="4"/>
  <c r="I11" i="4"/>
  <c r="M11" i="4" s="1"/>
  <c r="K10" i="4"/>
  <c r="I10" i="4"/>
  <c r="M10" i="4" s="1"/>
  <c r="K9" i="4"/>
  <c r="I9" i="4"/>
  <c r="M9" i="4" s="1"/>
  <c r="K8" i="4"/>
  <c r="I8" i="4"/>
  <c r="M8" i="4" s="1"/>
  <c r="K7" i="4"/>
  <c r="I7" i="4"/>
  <c r="M7" i="4" s="1"/>
  <c r="K6" i="4"/>
  <c r="I6" i="4"/>
  <c r="M6" i="4" s="1"/>
  <c r="K5" i="4"/>
  <c r="I5" i="4"/>
  <c r="M5" i="4" s="1"/>
  <c r="K4" i="4"/>
  <c r="I4" i="4"/>
  <c r="M4" i="4" s="1"/>
  <c r="K3" i="4"/>
  <c r="I3" i="4"/>
  <c r="M3" i="4" s="1"/>
  <c r="K2" i="4"/>
  <c r="I2" i="4"/>
  <c r="M2" i="4" s="1"/>
  <c r="M44" i="4" l="1"/>
  <c r="M276" i="4"/>
  <c r="M259" i="4"/>
  <c r="M114" i="4"/>
  <c r="M111" i="4"/>
  <c r="M41" i="4"/>
  <c r="M40" i="4"/>
  <c r="M32" i="4"/>
  <c r="M117" i="4"/>
  <c r="M100" i="4"/>
  <c r="M99" i="4"/>
  <c r="M106" i="4"/>
  <c r="M296" i="4"/>
  <c r="M264" i="4"/>
  <c r="M168" i="4"/>
  <c r="M258" i="4"/>
  <c r="M144" i="4"/>
  <c r="L205" i="4"/>
  <c r="N205" i="4" s="1"/>
  <c r="L77" i="4"/>
  <c r="N77" i="4" s="1"/>
  <c r="L4" i="4"/>
  <c r="N4" i="4" s="1"/>
  <c r="L2" i="4"/>
  <c r="N2" i="4" s="1"/>
  <c r="L190" i="4"/>
  <c r="N190" i="4"/>
  <c r="L153" i="4"/>
  <c r="N153" i="4" s="1"/>
  <c r="L16" i="4"/>
  <c r="N16" i="4"/>
  <c r="L296" i="4"/>
  <c r="N296" i="4" s="1"/>
  <c r="L295" i="4"/>
  <c r="N295" i="4" s="1"/>
  <c r="L294" i="4"/>
  <c r="N294" i="4" s="1"/>
  <c r="L293" i="4"/>
  <c r="N293" i="4" s="1"/>
  <c r="L292" i="4"/>
  <c r="N292" i="4" s="1"/>
  <c r="L291" i="4"/>
  <c r="N291" i="4" s="1"/>
  <c r="L290" i="4"/>
  <c r="N290" i="4" s="1"/>
  <c r="L289" i="4"/>
  <c r="N289" i="4" s="1"/>
  <c r="L288" i="4"/>
  <c r="N288" i="4" s="1"/>
  <c r="L287" i="4"/>
  <c r="N287" i="4" s="1"/>
  <c r="L286" i="4"/>
  <c r="N286" i="4" s="1"/>
  <c r="L285" i="4"/>
  <c r="N285" i="4" s="1"/>
  <c r="L284" i="4"/>
  <c r="N284" i="4" s="1"/>
  <c r="L283" i="4"/>
  <c r="N283" i="4" s="1"/>
  <c r="L282" i="4"/>
  <c r="N282" i="4" s="1"/>
  <c r="L281" i="4"/>
  <c r="L280" i="4"/>
  <c r="N280" i="4" s="1"/>
  <c r="L279" i="4"/>
  <c r="N279" i="4" s="1"/>
  <c r="L278" i="4"/>
  <c r="N278" i="4" s="1"/>
  <c r="L277" i="4"/>
  <c r="N277" i="4" s="1"/>
  <c r="L276" i="4"/>
  <c r="N276" i="4" s="1"/>
  <c r="L275" i="4"/>
  <c r="N275" i="4" s="1"/>
  <c r="L274" i="4"/>
  <c r="N274" i="4" s="1"/>
  <c r="L273" i="4"/>
  <c r="L272" i="4"/>
  <c r="N272" i="4" s="1"/>
  <c r="L271" i="4"/>
  <c r="N271" i="4" s="1"/>
  <c r="L270" i="4"/>
  <c r="L269" i="4"/>
  <c r="N269" i="4" s="1"/>
  <c r="L268" i="4"/>
  <c r="N268" i="4" s="1"/>
  <c r="L267" i="4"/>
  <c r="N267" i="4" s="1"/>
  <c r="L266" i="4"/>
  <c r="N266" i="4" s="1"/>
  <c r="L265" i="4"/>
  <c r="N265" i="4" s="1"/>
  <c r="L264" i="4"/>
  <c r="L263" i="4"/>
  <c r="N263" i="4" s="1"/>
  <c r="L262" i="4"/>
  <c r="N262" i="4" s="1"/>
  <c r="L261" i="4"/>
  <c r="N261" i="4" s="1"/>
  <c r="L260" i="4"/>
  <c r="N260" i="4" s="1"/>
  <c r="L259" i="4"/>
  <c r="N259" i="4" s="1"/>
  <c r="L258" i="4"/>
  <c r="L257" i="4"/>
  <c r="N257" i="4" s="1"/>
  <c r="L256" i="4"/>
  <c r="N256" i="4" s="1"/>
  <c r="L255" i="4"/>
  <c r="N255" i="4" s="1"/>
  <c r="L254" i="4"/>
  <c r="N254" i="4" s="1"/>
  <c r="L253" i="4"/>
  <c r="N253" i="4" s="1"/>
  <c r="L252" i="4"/>
  <c r="N252" i="4" s="1"/>
  <c r="L251" i="4"/>
  <c r="N251" i="4" s="1"/>
  <c r="L250" i="4"/>
  <c r="N250" i="4" s="1"/>
  <c r="L249" i="4"/>
  <c r="L248" i="4"/>
  <c r="N248" i="4" s="1"/>
  <c r="L247" i="4"/>
  <c r="N247" i="4" s="1"/>
  <c r="L246" i="4"/>
  <c r="N246" i="4" s="1"/>
  <c r="L245" i="4"/>
  <c r="N245" i="4" s="1"/>
  <c r="L244" i="4"/>
  <c r="N244" i="4" s="1"/>
  <c r="L243" i="4"/>
  <c r="N243" i="4" s="1"/>
  <c r="L242" i="4"/>
  <c r="N242" i="4" s="1"/>
  <c r="L241" i="4"/>
  <c r="N241" i="4" s="1"/>
  <c r="L240" i="4"/>
  <c r="N240" i="4" s="1"/>
  <c r="L239" i="4"/>
  <c r="L238" i="4"/>
  <c r="N238" i="4" s="1"/>
  <c r="L237" i="4"/>
  <c r="N237" i="4" s="1"/>
  <c r="L236" i="4"/>
  <c r="N236" i="4" s="1"/>
  <c r="L235" i="4"/>
  <c r="N235" i="4" s="1"/>
  <c r="L234" i="4"/>
  <c r="N234" i="4" s="1"/>
  <c r="L233" i="4"/>
  <c r="N233" i="4" s="1"/>
  <c r="L232" i="4"/>
  <c r="N232" i="4" s="1"/>
  <c r="L231" i="4"/>
  <c r="N231" i="4" s="1"/>
  <c r="L230" i="4"/>
  <c r="N230" i="4" s="1"/>
  <c r="L229" i="4"/>
  <c r="N229" i="4" s="1"/>
  <c r="L228" i="4"/>
  <c r="N228" i="4" s="1"/>
  <c r="L227" i="4"/>
  <c r="L226" i="4"/>
  <c r="N226" i="4" s="1"/>
  <c r="L225" i="4"/>
  <c r="N225" i="4" s="1"/>
  <c r="L224" i="4"/>
  <c r="L223" i="4"/>
  <c r="N223" i="4" s="1"/>
  <c r="L222" i="4"/>
  <c r="N222" i="4" s="1"/>
  <c r="L221" i="4"/>
  <c r="N221" i="4" s="1"/>
  <c r="L220" i="4"/>
  <c r="N220" i="4" s="1"/>
  <c r="L219" i="4"/>
  <c r="N219" i="4" s="1"/>
  <c r="L218" i="4"/>
  <c r="N218" i="4" s="1"/>
  <c r="L217" i="4"/>
  <c r="L216" i="4"/>
  <c r="L215" i="4"/>
  <c r="N215" i="4" s="1"/>
  <c r="L214" i="4"/>
  <c r="L213" i="4"/>
  <c r="N213" i="4" s="1"/>
  <c r="L212" i="4"/>
  <c r="N212" i="4" s="1"/>
  <c r="L211" i="4"/>
  <c r="N211" i="4" s="1"/>
  <c r="L210" i="4"/>
  <c r="N210" i="4" s="1"/>
  <c r="L209" i="4"/>
  <c r="N209" i="4" s="1"/>
  <c r="L208" i="4"/>
  <c r="L207" i="4"/>
  <c r="N207" i="4" s="1"/>
  <c r="L206" i="4"/>
  <c r="N206" i="4" s="1"/>
  <c r="L204" i="4"/>
  <c r="N204" i="4" s="1"/>
  <c r="L203" i="4"/>
  <c r="N203" i="4" s="1"/>
  <c r="L202" i="4"/>
  <c r="N202" i="4" s="1"/>
  <c r="L201" i="4"/>
  <c r="N201" i="4" s="1"/>
  <c r="L200" i="4"/>
  <c r="N200" i="4" s="1"/>
  <c r="L199" i="4"/>
  <c r="N199" i="4" s="1"/>
  <c r="L198" i="4"/>
  <c r="N198" i="4" s="1"/>
  <c r="L197" i="4"/>
  <c r="N197" i="4" s="1"/>
  <c r="L196" i="4"/>
  <c r="L195" i="4"/>
  <c r="N195" i="4" s="1"/>
  <c r="L194" i="4"/>
  <c r="N194" i="4" s="1"/>
  <c r="L193" i="4"/>
  <c r="N193" i="4" s="1"/>
  <c r="L192" i="4"/>
  <c r="N192" i="4" s="1"/>
  <c r="L191" i="4"/>
  <c r="N191" i="4" s="1"/>
  <c r="L189" i="4"/>
  <c r="N189" i="4" s="1"/>
  <c r="L188" i="4"/>
  <c r="N188" i="4" s="1"/>
  <c r="L187" i="4"/>
  <c r="N187" i="4" s="1"/>
  <c r="L186" i="4"/>
  <c r="N186" i="4" s="1"/>
  <c r="L185" i="4"/>
  <c r="N185" i="4" s="1"/>
  <c r="L184" i="4"/>
  <c r="L183" i="4"/>
  <c r="N183" i="4" s="1"/>
  <c r="L182" i="4"/>
  <c r="N182" i="4" s="1"/>
  <c r="L181" i="4"/>
  <c r="N181" i="4" s="1"/>
  <c r="L180" i="4"/>
  <c r="N180" i="4" s="1"/>
  <c r="L179" i="4"/>
  <c r="N179" i="4" s="1"/>
  <c r="L178" i="4"/>
  <c r="N178" i="4" s="1"/>
  <c r="L177" i="4"/>
  <c r="N177" i="4" s="1"/>
  <c r="L176" i="4"/>
  <c r="L175" i="4"/>
  <c r="N175" i="4" s="1"/>
  <c r="L174" i="4"/>
  <c r="N174" i="4" s="1"/>
  <c r="L173" i="4"/>
  <c r="N173" i="4" s="1"/>
  <c r="L172" i="4"/>
  <c r="L171" i="4"/>
  <c r="N171" i="4" s="1"/>
  <c r="L170" i="4"/>
  <c r="N170" i="4" s="1"/>
  <c r="L169" i="4"/>
  <c r="N169" i="4" s="1"/>
  <c r="L168" i="4"/>
  <c r="L167" i="4"/>
  <c r="L166" i="4"/>
  <c r="N166" i="4" s="1"/>
  <c r="L165" i="4"/>
  <c r="N165" i="4" s="1"/>
  <c r="L164" i="4"/>
  <c r="N164" i="4" s="1"/>
  <c r="L163" i="4"/>
  <c r="N163" i="4" s="1"/>
  <c r="L162" i="4"/>
  <c r="N162" i="4" s="1"/>
  <c r="L161" i="4"/>
  <c r="N161" i="4" s="1"/>
  <c r="L160" i="4"/>
  <c r="N160" i="4" s="1"/>
  <c r="L159" i="4"/>
  <c r="N159" i="4" s="1"/>
  <c r="L158" i="4"/>
  <c r="N158" i="4" s="1"/>
  <c r="L157" i="4"/>
  <c r="N157" i="4" s="1"/>
  <c r="L156" i="4"/>
  <c r="N156" i="4" s="1"/>
  <c r="L155" i="4"/>
  <c r="L154" i="4"/>
  <c r="N154" i="4" s="1"/>
  <c r="L152" i="4"/>
  <c r="N152" i="4" s="1"/>
  <c r="L151" i="4"/>
  <c r="N151" i="4" s="1"/>
  <c r="L150" i="4"/>
  <c r="L149" i="4"/>
  <c r="N149" i="4" s="1"/>
  <c r="L148" i="4"/>
  <c r="N148" i="4" s="1"/>
  <c r="L147" i="4"/>
  <c r="N147" i="4" s="1"/>
  <c r="L146" i="4"/>
  <c r="N146" i="4" s="1"/>
  <c r="L145" i="4"/>
  <c r="L144" i="4"/>
  <c r="L143" i="4"/>
  <c r="N143" i="4" s="1"/>
  <c r="L142" i="4"/>
  <c r="N142" i="4" s="1"/>
  <c r="L141" i="4"/>
  <c r="N141" i="4" s="1"/>
  <c r="L140" i="4"/>
  <c r="L139" i="4"/>
  <c r="N139" i="4" s="1"/>
  <c r="L138" i="4"/>
  <c r="N138" i="4" s="1"/>
  <c r="L137" i="4"/>
  <c r="L136" i="4"/>
  <c r="N136" i="4" s="1"/>
  <c r="L135" i="4"/>
  <c r="N135" i="4" s="1"/>
  <c r="L134" i="4"/>
  <c r="L133" i="4"/>
  <c r="N133" i="4" s="1"/>
  <c r="L132" i="4"/>
  <c r="N132" i="4" s="1"/>
  <c r="L131" i="4"/>
  <c r="N131" i="4" s="1"/>
  <c r="L130" i="4"/>
  <c r="L129" i="4"/>
  <c r="N129" i="4" s="1"/>
  <c r="L128" i="4"/>
  <c r="N128" i="4" s="1"/>
  <c r="L127" i="4"/>
  <c r="N127" i="4" s="1"/>
  <c r="L126" i="4"/>
  <c r="N126" i="4" s="1"/>
  <c r="L125" i="4"/>
  <c r="N125" i="4" s="1"/>
  <c r="L124" i="4"/>
  <c r="N124" i="4" s="1"/>
  <c r="L123" i="4"/>
  <c r="N123" i="4" s="1"/>
  <c r="L122" i="4"/>
  <c r="N122" i="4" s="1"/>
  <c r="L121" i="4"/>
  <c r="N121" i="4" s="1"/>
  <c r="L120" i="4"/>
  <c r="N120" i="4" s="1"/>
  <c r="L119" i="4"/>
  <c r="L118" i="4"/>
  <c r="N118" i="4" s="1"/>
  <c r="L117" i="4"/>
  <c r="L116" i="4"/>
  <c r="N116" i="4" s="1"/>
  <c r="L115" i="4"/>
  <c r="L114" i="4"/>
  <c r="N114" i="4" s="1"/>
  <c r="L113" i="4"/>
  <c r="N113" i="4" s="1"/>
  <c r="L112" i="4"/>
  <c r="N112" i="4" s="1"/>
  <c r="L111" i="4"/>
  <c r="N111" i="4" s="1"/>
  <c r="L110" i="4"/>
  <c r="N110" i="4" s="1"/>
  <c r="L109" i="4"/>
  <c r="N109" i="4" s="1"/>
  <c r="L108" i="4"/>
  <c r="N108" i="4" s="1"/>
  <c r="L107" i="4"/>
  <c r="N107" i="4" s="1"/>
  <c r="L106" i="4"/>
  <c r="N106" i="4" s="1"/>
  <c r="L105" i="4"/>
  <c r="N105" i="4" s="1"/>
  <c r="L104" i="4"/>
  <c r="N104" i="4" s="1"/>
  <c r="L103" i="4"/>
  <c r="N103" i="4" s="1"/>
  <c r="L102" i="4"/>
  <c r="L101" i="4"/>
  <c r="N101" i="4" s="1"/>
  <c r="L100" i="4"/>
  <c r="L99" i="4"/>
  <c r="L98" i="4"/>
  <c r="N98" i="4" s="1"/>
  <c r="L97" i="4"/>
  <c r="N97" i="4" s="1"/>
  <c r="L96" i="4"/>
  <c r="N96" i="4" s="1"/>
  <c r="L95" i="4"/>
  <c r="N95" i="4" s="1"/>
  <c r="L94" i="4"/>
  <c r="N94" i="4" s="1"/>
  <c r="L93" i="4"/>
  <c r="N93" i="4" s="1"/>
  <c r="L92" i="4"/>
  <c r="N92" i="4" s="1"/>
  <c r="L91" i="4"/>
  <c r="N91" i="4" s="1"/>
  <c r="L90" i="4"/>
  <c r="L89" i="4"/>
  <c r="N89" i="4" s="1"/>
  <c r="L88" i="4"/>
  <c r="N88" i="4" s="1"/>
  <c r="L87" i="4"/>
  <c r="L86" i="4"/>
  <c r="N86" i="4" s="1"/>
  <c r="L85" i="4"/>
  <c r="L84" i="4"/>
  <c r="N84" i="4" s="1"/>
  <c r="L83" i="4"/>
  <c r="N83" i="4" s="1"/>
  <c r="L82" i="4"/>
  <c r="L81" i="4"/>
  <c r="N81" i="4" s="1"/>
  <c r="L80" i="4"/>
  <c r="N80" i="4" s="1"/>
  <c r="L79" i="4"/>
  <c r="N79" i="4" s="1"/>
  <c r="L78" i="4"/>
  <c r="N78" i="4" s="1"/>
  <c r="L76" i="4"/>
  <c r="N76" i="4" s="1"/>
  <c r="L75" i="4"/>
  <c r="N75" i="4" s="1"/>
  <c r="L74" i="4"/>
  <c r="N74" i="4" s="1"/>
  <c r="L73" i="4"/>
  <c r="N73" i="4" s="1"/>
  <c r="L72" i="4"/>
  <c r="N72" i="4" s="1"/>
  <c r="L71" i="4"/>
  <c r="N71" i="4" s="1"/>
  <c r="L70" i="4"/>
  <c r="N70" i="4" s="1"/>
  <c r="L69" i="4"/>
  <c r="N69" i="4" s="1"/>
  <c r="L68" i="4"/>
  <c r="N68" i="4" s="1"/>
  <c r="L67" i="4"/>
  <c r="N67" i="4" s="1"/>
  <c r="L66" i="4"/>
  <c r="N66" i="4" s="1"/>
  <c r="L65" i="4"/>
  <c r="N65" i="4" s="1"/>
  <c r="L64" i="4"/>
  <c r="N64" i="4" s="1"/>
  <c r="L63" i="4"/>
  <c r="N63" i="4" s="1"/>
  <c r="L62" i="4"/>
  <c r="N62" i="4" s="1"/>
  <c r="L61" i="4"/>
  <c r="N61" i="4" s="1"/>
  <c r="L60" i="4"/>
  <c r="N60" i="4" s="1"/>
  <c r="L59" i="4"/>
  <c r="N59" i="4" s="1"/>
  <c r="L58" i="4"/>
  <c r="N58" i="4" s="1"/>
  <c r="L57" i="4"/>
  <c r="N57" i="4" s="1"/>
  <c r="L56" i="4"/>
  <c r="N56" i="4" s="1"/>
  <c r="L55" i="4"/>
  <c r="N55" i="4" s="1"/>
  <c r="L54" i="4"/>
  <c r="N54" i="4" s="1"/>
  <c r="L53" i="4"/>
  <c r="N53" i="4" s="1"/>
  <c r="L52" i="4"/>
  <c r="N52" i="4" s="1"/>
  <c r="L51" i="4"/>
  <c r="N51" i="4" s="1"/>
  <c r="L50" i="4"/>
  <c r="N50" i="4" s="1"/>
  <c r="L49" i="4"/>
  <c r="N49" i="4" s="1"/>
  <c r="L48" i="4"/>
  <c r="N48" i="4" s="1"/>
  <c r="L47" i="4"/>
  <c r="N47" i="4" s="1"/>
  <c r="L46" i="4"/>
  <c r="N46" i="4" s="1"/>
  <c r="L45" i="4"/>
  <c r="N45" i="4" s="1"/>
  <c r="L44" i="4"/>
  <c r="N44" i="4" s="1"/>
  <c r="L43" i="4"/>
  <c r="N43" i="4" s="1"/>
  <c r="L42" i="4"/>
  <c r="N42" i="4" s="1"/>
  <c r="L41" i="4"/>
  <c r="N41" i="4" s="1"/>
  <c r="L40" i="4"/>
  <c r="N40" i="4" s="1"/>
  <c r="L39" i="4"/>
  <c r="N39" i="4" s="1"/>
  <c r="L38" i="4"/>
  <c r="N38" i="4" s="1"/>
  <c r="L37" i="4"/>
  <c r="N37" i="4" s="1"/>
  <c r="L36" i="4"/>
  <c r="N36" i="4" s="1"/>
  <c r="L35" i="4"/>
  <c r="N35" i="4" s="1"/>
  <c r="L34" i="4"/>
  <c r="N34" i="4" s="1"/>
  <c r="L33" i="4"/>
  <c r="N33" i="4" s="1"/>
  <c r="L32" i="4"/>
  <c r="N32" i="4" s="1"/>
  <c r="L31" i="4"/>
  <c r="N31" i="4" s="1"/>
  <c r="L30" i="4"/>
  <c r="N30" i="4" s="1"/>
  <c r="L29" i="4"/>
  <c r="N29" i="4" s="1"/>
  <c r="L28" i="4"/>
  <c r="N28" i="4" s="1"/>
  <c r="L27" i="4"/>
  <c r="N27" i="4" s="1"/>
  <c r="L26" i="4"/>
  <c r="N26" i="4" s="1"/>
  <c r="L25" i="4"/>
  <c r="N25" i="4" s="1"/>
  <c r="L24" i="4"/>
  <c r="N24" i="4" s="1"/>
  <c r="L23" i="4"/>
  <c r="N23" i="4" s="1"/>
  <c r="L22" i="4"/>
  <c r="N22" i="4" s="1"/>
  <c r="L21" i="4"/>
  <c r="N21" i="4" s="1"/>
  <c r="L20" i="4"/>
  <c r="N20" i="4" s="1"/>
  <c r="L19" i="4"/>
  <c r="N19" i="4" s="1"/>
  <c r="L18" i="4"/>
  <c r="N18" i="4" s="1"/>
  <c r="L17" i="4"/>
  <c r="N17" i="4" s="1"/>
  <c r="L15" i="4"/>
  <c r="N15" i="4" s="1"/>
  <c r="L14" i="4"/>
  <c r="N14" i="4" s="1"/>
  <c r="L13" i="4"/>
  <c r="N13" i="4" s="1"/>
  <c r="L12" i="4"/>
  <c r="N12" i="4" s="1"/>
  <c r="L11" i="4"/>
  <c r="N11" i="4" s="1"/>
  <c r="L10" i="4"/>
  <c r="N10" i="4" s="1"/>
  <c r="L9" i="4"/>
  <c r="N9" i="4" s="1"/>
  <c r="L8" i="4"/>
  <c r="N8" i="4" s="1"/>
  <c r="L7" i="4"/>
  <c r="N7" i="4" s="1"/>
  <c r="L6" i="4"/>
  <c r="N6" i="4" s="1"/>
  <c r="L5" i="4"/>
  <c r="N5" i="4" s="1"/>
  <c r="L3" i="4"/>
  <c r="N3" i="4" s="1"/>
</calcChain>
</file>

<file path=xl/sharedStrings.xml><?xml version="1.0" encoding="utf-8"?>
<sst xmlns="http://schemas.openxmlformats.org/spreadsheetml/2006/main" count="3917" uniqueCount="51">
  <si>
    <t>Entity Sender</t>
  </si>
  <si>
    <t>Entity Receiver</t>
  </si>
  <si>
    <t>Country Sender</t>
  </si>
  <si>
    <t>Country Receiver</t>
  </si>
  <si>
    <t>Transaction Type</t>
  </si>
  <si>
    <t>Amount</t>
  </si>
  <si>
    <t>Currency</t>
  </si>
  <si>
    <t>Date</t>
  </si>
  <si>
    <t>Margin %</t>
  </si>
  <si>
    <t>Cost Base</t>
  </si>
  <si>
    <t>Comments</t>
  </si>
  <si>
    <t>PL01</t>
  </si>
  <si>
    <t>ES01</t>
  </si>
  <si>
    <t>Poland</t>
  </si>
  <si>
    <t>Spain</t>
  </si>
  <si>
    <t>Services</t>
  </si>
  <si>
    <t>EUR</t>
  </si>
  <si>
    <t>Check margin / missing data</t>
  </si>
  <si>
    <t>NL01</t>
  </si>
  <si>
    <t>DE01</t>
  </si>
  <si>
    <t>Netherlands</t>
  </si>
  <si>
    <t>Germany</t>
  </si>
  <si>
    <t>Goods</t>
  </si>
  <si>
    <t>PLN</t>
  </si>
  <si>
    <t>USD</t>
  </si>
  <si>
    <t>FR01</t>
  </si>
  <si>
    <t>France</t>
  </si>
  <si>
    <t>Royalties</t>
  </si>
  <si>
    <t>Generated additional data</t>
  </si>
  <si>
    <t>Amount (EUR)</t>
  </si>
  <si>
    <t>Cost Base (EUR)</t>
  </si>
  <si>
    <t>Step</t>
  </si>
  <si>
    <t>Assumptions</t>
  </si>
  <si>
    <t>Duplicates</t>
  </si>
  <si>
    <t>Deleted 5 fully identical rows, partial matches are retained</t>
  </si>
  <si>
    <t>Dates</t>
  </si>
  <si>
    <t>Formatted as YYYY-MM-DD</t>
  </si>
  <si>
    <t>Exchange rate</t>
  </si>
  <si>
    <t>1 USD = 0.9 EUR, 1 PLN = 0.22 EUR</t>
  </si>
  <si>
    <t>37 missing rows flagged</t>
  </si>
  <si>
    <t>Calculated in EUR as Margin % = (Amount – Cost Base) / Cost Base where possible</t>
  </si>
  <si>
    <t>Row Labels</t>
  </si>
  <si>
    <t>Compliant</t>
  </si>
  <si>
    <t>Non-compliant</t>
  </si>
  <si>
    <t>Unknown</t>
  </si>
  <si>
    <t>Grand Total</t>
  </si>
  <si>
    <t>Column Labels</t>
  </si>
  <si>
    <t>Status</t>
  </si>
  <si>
    <t>Count of Status</t>
  </si>
  <si>
    <t>Assessed compliance status</t>
  </si>
  <si>
    <t>Arm’s length benchmark range:
Goods: 3%-8%
Services: 5%-10%
Royalties: 8%-15%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</si>
</sst>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;@"/>
  </numFmts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.SF N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0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3" fillId="0" borderId="0" xfId="0" applyFon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[TP_case_dataset_cleaned.xlsx]Pivot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Overall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4137268274536589E-2"/>
              <c:y val="-0.187840269966254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58-984E-88DF-435005981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ED7-1E43-B0D7-80C2DCD8FD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58-984E-88DF-435005981193}"/>
              </c:ext>
            </c:extLst>
          </c:dPt>
          <c:dLbls>
            <c:dLbl>
              <c:idx val="1"/>
              <c:layout>
                <c:manualLayout>
                  <c:x val="-8.4137268274536589E-2"/>
                  <c:y val="-0.1878402699662542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D7-1E43-B0D7-80C2DCD8F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Tables'!$A$4:$A$7</c:f>
              <c:strCache>
                <c:ptCount val="3"/>
                <c:pt idx="0">
                  <c:v>Compliant</c:v>
                </c:pt>
                <c:pt idx="1">
                  <c:v>Non-compliant</c:v>
                </c:pt>
                <c:pt idx="2">
                  <c:v>Unknown</c:v>
                </c:pt>
              </c:strCache>
            </c:strRef>
          </c:cat>
          <c:val>
            <c:numRef>
              <c:f>'Pivot Tables'!$B$4:$B$7</c:f>
              <c:numCache>
                <c:formatCode>0.00%</c:formatCode>
                <c:ptCount val="3"/>
                <c:pt idx="0">
                  <c:v>0.10508474576271186</c:v>
                </c:pt>
                <c:pt idx="1">
                  <c:v>0.76949152542372878</c:v>
                </c:pt>
                <c:pt idx="2">
                  <c:v>0.12542372881355932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7-1E43-B0D7-80C2DCD8FD4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[TP_case_dataset_cleaned.xlsx]Pivot 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Compliance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Tables'!$B$11:$B$12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Tables'!$A$13:$A$18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Netherlands</c:v>
                </c:pt>
                <c:pt idx="3">
                  <c:v>Poland</c:v>
                </c:pt>
                <c:pt idx="4">
                  <c:v>Spain</c:v>
                </c:pt>
              </c:strCache>
            </c:strRef>
          </c:cat>
          <c:val>
            <c:numRef>
              <c:f>'Pivot Tables'!$B$13:$B$18</c:f>
              <c:numCache>
                <c:formatCode>0.00%</c:formatCode>
                <c:ptCount val="5"/>
                <c:pt idx="0">
                  <c:v>2.3728813559322035E-2</c:v>
                </c:pt>
                <c:pt idx="1">
                  <c:v>1.6949152542372881E-2</c:v>
                </c:pt>
                <c:pt idx="2">
                  <c:v>2.7118644067796609E-2</c:v>
                </c:pt>
                <c:pt idx="3">
                  <c:v>1.6949152542372881E-2</c:v>
                </c:pt>
                <c:pt idx="4">
                  <c:v>2.0338983050847456E-2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5-2A44-85BB-2274ACE7404D}"/>
            </c:ext>
          </c:extLst>
        </c:ser>
        <c:ser>
          <c:idx val="1"/>
          <c:order val="1"/>
          <c:tx>
            <c:strRef>
              <c:f>'Pivot Tables'!$C$11:$C$12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Tables'!$A$13:$A$18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Netherlands</c:v>
                </c:pt>
                <c:pt idx="3">
                  <c:v>Poland</c:v>
                </c:pt>
                <c:pt idx="4">
                  <c:v>Spain</c:v>
                </c:pt>
              </c:strCache>
            </c:strRef>
          </c:cat>
          <c:val>
            <c:numRef>
              <c:f>'Pivot Tables'!$C$13:$C$18</c:f>
              <c:numCache>
                <c:formatCode>0.00%</c:formatCode>
                <c:ptCount val="5"/>
                <c:pt idx="0">
                  <c:v>0.17627118644067796</c:v>
                </c:pt>
                <c:pt idx="1">
                  <c:v>0.17288135593220338</c:v>
                </c:pt>
                <c:pt idx="2">
                  <c:v>0.14237288135593221</c:v>
                </c:pt>
                <c:pt idx="3">
                  <c:v>0.14576271186440679</c:v>
                </c:pt>
                <c:pt idx="4">
                  <c:v>0.13220338983050847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5-2A44-85BB-2274ACE7404D}"/>
            </c:ext>
          </c:extLst>
        </c:ser>
        <c:ser>
          <c:idx val="2"/>
          <c:order val="2"/>
          <c:tx>
            <c:strRef>
              <c:f>'Pivot Tables'!$D$11:$D$12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Tables'!$A$13:$A$18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Netherlands</c:v>
                </c:pt>
                <c:pt idx="3">
                  <c:v>Poland</c:v>
                </c:pt>
                <c:pt idx="4">
                  <c:v>Spain</c:v>
                </c:pt>
              </c:strCache>
            </c:strRef>
          </c:cat>
          <c:val>
            <c:numRef>
              <c:f>'Pivot Tables'!$D$13:$D$18</c:f>
              <c:numCache>
                <c:formatCode>0.00%</c:formatCode>
                <c:ptCount val="5"/>
                <c:pt idx="0">
                  <c:v>2.3728813559322035E-2</c:v>
                </c:pt>
                <c:pt idx="1">
                  <c:v>1.0169491525423728E-2</c:v>
                </c:pt>
                <c:pt idx="2">
                  <c:v>2.3728813559322035E-2</c:v>
                </c:pt>
                <c:pt idx="3">
                  <c:v>3.3898305084745763E-2</c:v>
                </c:pt>
                <c:pt idx="4">
                  <c:v>3.3898305084745763E-2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A5-2A44-85BB-2274ACE740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4776000"/>
        <c:axId val="1800593024"/>
      </c:barChart>
      <c:catAx>
        <c:axId val="80477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800593024"/>
        <c:crosses val="autoZero"/>
        <c:auto val="1"/>
        <c:lblAlgn val="ctr"/>
        <c:lblOffset val="100"/>
        <c:noMultiLvlLbl val="0"/>
      </c:catAx>
      <c:valAx>
        <c:axId val="18005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8047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[TP_case_dataset_cleaned.xlsx]Pivot 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Compliance by Transaction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layout>
            <c:manualLayout>
              <c:x val="0"/>
              <c:y val="5.1883840456169263E-2"/>
            </c:manualLayout>
          </c:layout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Tables'!$B$23:$B$24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Tables'!$A$25:$A$28</c:f>
              <c:strCache>
                <c:ptCount val="3"/>
                <c:pt idx="0">
                  <c:v>Goods</c:v>
                </c:pt>
                <c:pt idx="1">
                  <c:v>Royalties</c:v>
                </c:pt>
                <c:pt idx="2">
                  <c:v>Services</c:v>
                </c:pt>
              </c:strCache>
            </c:strRef>
          </c:cat>
          <c:val>
            <c:numRef>
              <c:f>'Pivot Tables'!$B$25:$B$28</c:f>
              <c:numCache>
                <c:formatCode>0.00%</c:formatCode>
                <c:ptCount val="3"/>
                <c:pt idx="0">
                  <c:v>3.0508474576271188E-2</c:v>
                </c:pt>
                <c:pt idx="1">
                  <c:v>5.0847457627118647E-2</c:v>
                </c:pt>
                <c:pt idx="2">
                  <c:v>2.3728813559322035E-2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8C-8A45-BD3C-51C2BFC6595E}"/>
            </c:ext>
          </c:extLst>
        </c:ser>
        <c:ser>
          <c:idx val="1"/>
          <c:order val="1"/>
          <c:tx>
            <c:strRef>
              <c:f>'Pivot Tables'!$C$23:$C$24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Tables'!$A$25:$A$28</c:f>
              <c:strCache>
                <c:ptCount val="3"/>
                <c:pt idx="0">
                  <c:v>Goods</c:v>
                </c:pt>
                <c:pt idx="1">
                  <c:v>Royalties</c:v>
                </c:pt>
                <c:pt idx="2">
                  <c:v>Services</c:v>
                </c:pt>
              </c:strCache>
            </c:strRef>
          </c:cat>
          <c:val>
            <c:numRef>
              <c:f>'Pivot Tables'!$C$25:$C$28</c:f>
              <c:numCache>
                <c:formatCode>0.00%</c:formatCode>
                <c:ptCount val="3"/>
                <c:pt idx="0">
                  <c:v>0.32203389830508472</c:v>
                </c:pt>
                <c:pt idx="1">
                  <c:v>0.26440677966101694</c:v>
                </c:pt>
                <c:pt idx="2">
                  <c:v>0.18305084745762712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8C-8A45-BD3C-51C2BFC6595E}"/>
            </c:ext>
          </c:extLst>
        </c:ser>
        <c:ser>
          <c:idx val="2"/>
          <c:order val="2"/>
          <c:tx>
            <c:strRef>
              <c:f>'Pivot Tables'!$D$23:$D$24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Tables'!$A$25:$A$28</c:f>
              <c:strCache>
                <c:ptCount val="3"/>
                <c:pt idx="0">
                  <c:v>Goods</c:v>
                </c:pt>
                <c:pt idx="1">
                  <c:v>Royalties</c:v>
                </c:pt>
                <c:pt idx="2">
                  <c:v>Services</c:v>
                </c:pt>
              </c:strCache>
            </c:strRef>
          </c:cat>
          <c:val>
            <c:numRef>
              <c:f>'Pivot Tables'!$D$25:$D$28</c:f>
              <c:numCache>
                <c:formatCode>0.00%</c:formatCode>
                <c:ptCount val="3"/>
                <c:pt idx="0">
                  <c:v>2.3728813559322035E-2</c:v>
                </c:pt>
                <c:pt idx="1">
                  <c:v>4.4067796610169491E-2</c:v>
                </c:pt>
                <c:pt idx="2">
                  <c:v>5.7627118644067797E-2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F8C-8A45-BD3C-51C2BFC659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1869568"/>
        <c:axId val="711871280"/>
      </c:barChart>
      <c:catAx>
        <c:axId val="7118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11871280"/>
        <c:crosses val="autoZero"/>
        <c:auto val="1"/>
        <c:lblAlgn val="ctr"/>
        <c:lblOffset val="100"/>
        <c:noMultiLvlLbl val="0"/>
      </c:catAx>
      <c:valAx>
        <c:axId val="7118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1186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635000</xdr:colOff>
      <xdr:row>0</xdr:row>
      <xdr:rowOff>88900</xdr:rowOff>
    </xdr:from>
    <xdr:to>
      <xdr:col>12</xdr:col>
      <xdr:colOff>279400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D5D0F-54A7-0B05-D291-4E2FC68CC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546100</xdr:colOff>
      <xdr:row>16</xdr:row>
      <xdr:rowOff>107950</xdr:rowOff>
    </xdr:from>
    <xdr:to>
      <xdr:col>15</xdr:col>
      <xdr:colOff>317500</xdr:colOff>
      <xdr:row>41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CB44A0-F78F-2505-F929-40A3A7ED4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296753</xdr:colOff>
      <xdr:row>17</xdr:row>
      <xdr:rowOff>182766</xdr:rowOff>
    </xdr:from>
    <xdr:to>
      <xdr:col>22</xdr:col>
      <xdr:colOff>707554</xdr:colOff>
      <xdr:row>38</xdr:row>
      <xdr:rowOff>138316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9AC070-7AE7-8D6B-9231-3E550FA66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ê Khánh Linh" refreshedDate="46203.50488148148" createdVersion="8" refreshedVersion="8" minRefreshableVersion="3" recordCount="295" xr:uid="{72702F7A-CBCB-2440-B0CC-B9E6D5E76950}">
  <cacheSource type="worksheet">
    <worksheetSource ref="A1:N296" sheet="Clean Data"/>
  </cacheSource>
  <cacheFields count="14">
    <cacheField name="Entity Sender" numFmtId="0">
      <sharedItems/>
    </cacheField>
    <cacheField name="Entity Receiver" numFmtId="0">
      <sharedItems/>
    </cacheField>
    <cacheField name="Country Sender" numFmtId="0">
      <sharedItems count="5">
        <s v="Poland"/>
        <s v="Netherlands"/>
        <s v="Germany"/>
        <s v="Spain"/>
        <s v="France"/>
      </sharedItems>
    </cacheField>
    <cacheField name="Country Receiver" numFmtId="0">
      <sharedItems/>
    </cacheField>
    <cacheField name="Transaction Type" numFmtId="0">
      <sharedItems count="3">
        <s v="Services"/>
        <s v="Goods"/>
        <s v="Royalties"/>
      </sharedItems>
    </cacheField>
    <cacheField name="Date" numFmtId="165">
      <sharedItems containsSemiMixedTypes="0" containsNonDate="0" containsDate="1" containsString="0" minDate="2025-01-01T00:00:00" maxDate="2025-12-31T00:00:00"/>
    </cacheField>
    <cacheField name="Currency" numFmtId="0">
      <sharedItems/>
    </cacheField>
    <cacheField name="Amount" numFmtId="0">
      <sharedItems containsSemiMixedTypes="0" containsString="0" containsNumber="1" minValue="5201.42" maxValue="199775.17"/>
    </cacheField>
    <cacheField name="Amount (EUR)" numFmtId="0">
      <sharedItems containsSemiMixedTypes="0" containsString="0" containsNumber="1" minValue="1144.3124" maxValue="199711.5"/>
    </cacheField>
    <cacheField name="Cost Base" numFmtId="0">
      <sharedItems containsString="0" containsBlank="1" containsNumber="1" minValue="3455.3490481020249" maxValue="174065.67745519019"/>
    </cacheField>
    <cacheField name="Cost Base (EUR)" numFmtId="0">
      <sharedItems containsMixedTypes="1" containsNumber="1" minValue="760.17679058244551" maxValue="170788.31108689541"/>
    </cacheField>
    <cacheField name="Margin %" numFmtId="10">
      <sharedItems containsMixedTypes="1" containsNumber="1" minValue="5.4987799251138468E-2" maxValue="0.66627590077367826"/>
    </cacheField>
    <cacheField name="Comments" numFmtId="0">
      <sharedItems/>
    </cacheField>
    <cacheField name="Status" numFmtId="0">
      <sharedItems count="3">
        <s v="Non-compliant"/>
        <s v="Compliant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s v="PL01"/>
    <s v="ES01"/>
    <x v="0"/>
    <s v="Spain"/>
    <x v="0"/>
    <d v="2025-10-20T00:00:00"/>
    <s v="EUR"/>
    <n v="122538.86"/>
    <n v="122538.86"/>
    <n v="101224.81090356471"/>
    <n v="101224.81090356471"/>
    <n v="0.21056151062352543"/>
    <s v=""/>
    <x v="0"/>
  </r>
  <r>
    <s v="NL01"/>
    <s v="DE01"/>
    <x v="1"/>
    <s v="Germany"/>
    <x v="1"/>
    <d v="2025-01-26T00:00:00"/>
    <s v="PLN"/>
    <n v="98144.7"/>
    <n v="21591.833999999999"/>
    <n v="72379.231092256974"/>
    <n v="15923.430840296534"/>
    <n v="0.35597875963757475"/>
    <s v=""/>
    <x v="0"/>
  </r>
  <r>
    <s v="DE01"/>
    <s v="NL01"/>
    <x v="2"/>
    <s v="Netherlands"/>
    <x v="1"/>
    <d v="2025-09-01T00:00:00"/>
    <s v="USD"/>
    <n v="156740.57"/>
    <n v="141066.51300000001"/>
    <n v="137885.5411064988"/>
    <n v="124096.98699584893"/>
    <n v="0.13674406135838504"/>
    <s v=""/>
    <x v="0"/>
  </r>
  <r>
    <s v="ES01"/>
    <s v="FR01"/>
    <x v="3"/>
    <s v="France"/>
    <x v="1"/>
    <d v="2025-06-13T00:00:00"/>
    <s v="USD"/>
    <n v="32953.89"/>
    <n v="29658.501"/>
    <n v="24554.987385172011"/>
    <n v="22099.488646654812"/>
    <n v="0.34204467235441627"/>
    <s v=""/>
    <x v="0"/>
  </r>
  <r>
    <s v="FR01"/>
    <s v="PL01"/>
    <x v="4"/>
    <s v="Poland"/>
    <x v="1"/>
    <d v="2025-10-01T00:00:00"/>
    <s v="PLN"/>
    <n v="31367.54"/>
    <n v="6900.8588"/>
    <n v="21261.310263593019"/>
    <n v="4677.4882579904643"/>
    <n v="0.47533428613345935"/>
    <s v=""/>
    <x v="0"/>
  </r>
  <r>
    <s v="DE01"/>
    <s v="ES01"/>
    <x v="2"/>
    <s v="Spain"/>
    <x v="2"/>
    <d v="2025-09-25T00:00:00"/>
    <s v="EUR"/>
    <n v="180957.97"/>
    <n v="180957.97"/>
    <n v="149941.5952513027"/>
    <n v="149941.5952513027"/>
    <n v="0.20685637428836032"/>
    <s v=""/>
    <x v="0"/>
  </r>
  <r>
    <s v="ES01"/>
    <s v="NL01"/>
    <x v="3"/>
    <s v="Netherlands"/>
    <x v="2"/>
    <d v="2025-02-17T00:00:00"/>
    <s v="USD"/>
    <n v="68384.210000000006"/>
    <n v="61545.789000000004"/>
    <n v="63982.471857737961"/>
    <n v="57584.224671964163"/>
    <n v="6.8796000130302959E-2"/>
    <s v=""/>
    <x v="0"/>
  </r>
  <r>
    <s v="ES01"/>
    <s v="NL01"/>
    <x v="3"/>
    <s v="Netherlands"/>
    <x v="1"/>
    <d v="2025-12-08T00:00:00"/>
    <s v="EUR"/>
    <n v="54391.86"/>
    <n v="54391.86"/>
    <n v="35661.443968266889"/>
    <n v="35661.443968266889"/>
    <n v="0.525228761022696"/>
    <s v=""/>
    <x v="0"/>
  </r>
  <r>
    <s v="DE01"/>
    <s v="PL01"/>
    <x v="2"/>
    <s v="Poland"/>
    <x v="1"/>
    <d v="2025-04-09T00:00:00"/>
    <s v="USD"/>
    <n v="7646.47"/>
    <n v="6881.8230000000003"/>
    <n v="7189.0639061422662"/>
    <n v="6470.1575155280398"/>
    <n v="6.362526468389447E-2"/>
    <s v=""/>
    <x v="1"/>
  </r>
  <r>
    <s v="NL01"/>
    <s v="PL01"/>
    <x v="1"/>
    <s v="Poland"/>
    <x v="0"/>
    <d v="2025-07-07T00:00:00"/>
    <s v="USD"/>
    <n v="8897.59"/>
    <n v="8007.8310000000001"/>
    <n v="6457.9203138590783"/>
    <n v="5812.1282824731707"/>
    <n v="0.37777946576783339"/>
    <s v=""/>
    <x v="0"/>
  </r>
  <r>
    <s v="FR01"/>
    <s v="ES01"/>
    <x v="4"/>
    <s v="Spain"/>
    <x v="2"/>
    <d v="2025-02-28T00:00:00"/>
    <s v="PLN"/>
    <n v="115211.83"/>
    <n v="25346.602600000002"/>
    <n v="106093.1631974558"/>
    <n v="23340.495903440275"/>
    <n v="8.5949617559926694E-2"/>
    <s v=""/>
    <x v="1"/>
  </r>
  <r>
    <s v="FR01"/>
    <s v="ES01"/>
    <x v="4"/>
    <s v="Spain"/>
    <x v="1"/>
    <d v="2025-02-12T00:00:00"/>
    <s v="PLN"/>
    <n v="30700.58"/>
    <n v="6754.1276000000007"/>
    <n v="20388.77637261296"/>
    <n v="4485.5308019748509"/>
    <n v="0.50575882725548371"/>
    <s v=""/>
    <x v="0"/>
  </r>
  <r>
    <s v="PL01"/>
    <s v="NL01"/>
    <x v="0"/>
    <s v="Netherlands"/>
    <x v="0"/>
    <d v="2025-10-24T00:00:00"/>
    <s v="PLN"/>
    <n v="33556.14"/>
    <n v="7382.3508000000002"/>
    <n v="23521.738497905561"/>
    <n v="5174.7824695392237"/>
    <n v="0.42660118438898248"/>
    <s v=""/>
    <x v="0"/>
  </r>
  <r>
    <s v="NL01"/>
    <s v="ES01"/>
    <x v="1"/>
    <s v="Spain"/>
    <x v="2"/>
    <d v="2025-08-26T00:00:00"/>
    <s v="EUR"/>
    <n v="48500.92"/>
    <n v="48500.92"/>
    <n v="43468.611758789928"/>
    <n v="43468.611758789928"/>
    <n v="0.1157687820612875"/>
    <s v=""/>
    <x v="1"/>
  </r>
  <r>
    <s v="DE01"/>
    <s v="FR01"/>
    <x v="2"/>
    <s v="France"/>
    <x v="1"/>
    <d v="2025-04-28T00:00:00"/>
    <s v="EUR"/>
    <n v="118348.21"/>
    <n v="118348.21"/>
    <n v="101050.3170340228"/>
    <n v="101050.3170340228"/>
    <n v="0.17118098659851957"/>
    <s v=""/>
    <x v="0"/>
  </r>
  <r>
    <s v="DE01"/>
    <s v="NL01"/>
    <x v="2"/>
    <s v="Netherlands"/>
    <x v="1"/>
    <d v="2025-07-04T00:00:00"/>
    <s v="EUR"/>
    <n v="123246.68"/>
    <n v="123246.68"/>
    <n v="102425.4768519401"/>
    <n v="102425.4768519401"/>
    <n v="0.20328148609117763"/>
    <s v=""/>
    <x v="0"/>
  </r>
  <r>
    <s v="DE01"/>
    <s v="ES01"/>
    <x v="2"/>
    <s v="Spain"/>
    <x v="1"/>
    <d v="2025-10-28T00:00:00"/>
    <s v="PLN"/>
    <n v="25058.35"/>
    <n v="5512.8369999999995"/>
    <n v="19874.67173496816"/>
    <n v="4372.4277816929953"/>
    <n v="0.26081830855658872"/>
    <s v=""/>
    <x v="0"/>
  </r>
  <r>
    <s v="NL01"/>
    <s v="PL01"/>
    <x v="1"/>
    <s v="Poland"/>
    <x v="2"/>
    <d v="2025-02-13T00:00:00"/>
    <s v="PLN"/>
    <n v="23965.69"/>
    <n v="5272.4517999999998"/>
    <n v="18883.95434460861"/>
    <n v="4154.4699558138946"/>
    <n v="0.26910336482794073"/>
    <s v=""/>
    <x v="0"/>
  </r>
  <r>
    <s v="NL01"/>
    <s v="DE01"/>
    <x v="1"/>
    <s v="Germany"/>
    <x v="2"/>
    <d v="2025-08-06T00:00:00"/>
    <s v="PLN"/>
    <n v="199775.17"/>
    <n v="43950.537400000001"/>
    <n v="131226.8207770701"/>
    <n v="28869.900570955422"/>
    <n v="0.52236538854645242"/>
    <s v=""/>
    <x v="0"/>
  </r>
  <r>
    <s v="ES01"/>
    <s v="FR01"/>
    <x v="3"/>
    <s v="France"/>
    <x v="1"/>
    <d v="2025-10-30T00:00:00"/>
    <s v="USD"/>
    <n v="115974.64"/>
    <n v="104377.17600000001"/>
    <n v="97894.20181187884"/>
    <n v="88104.781630690952"/>
    <n v="0.1846936575760223"/>
    <s v=""/>
    <x v="0"/>
  </r>
  <r>
    <s v="PL01"/>
    <s v="ES01"/>
    <x v="0"/>
    <s v="Spain"/>
    <x v="0"/>
    <d v="2025-10-18T00:00:00"/>
    <s v="PLN"/>
    <n v="49994.76"/>
    <n v="10998.8472"/>
    <n v="43120.467354854511"/>
    <n v="9486.5028180679928"/>
    <n v="0.15942064330087968"/>
    <s v=""/>
    <x v="0"/>
  </r>
  <r>
    <s v="DE01"/>
    <s v="FR01"/>
    <x v="2"/>
    <s v="France"/>
    <x v="1"/>
    <d v="2025-05-17T00:00:00"/>
    <s v="EUR"/>
    <n v="38342.39"/>
    <n v="38342.39"/>
    <n v="35675.366693734417"/>
    <n v="35675.366693734417"/>
    <n v="7.4758118932915854E-2"/>
    <s v=""/>
    <x v="1"/>
  </r>
  <r>
    <s v="DE01"/>
    <s v="NL01"/>
    <x v="2"/>
    <s v="Netherlands"/>
    <x v="1"/>
    <d v="2025-04-25T00:00:00"/>
    <s v="EUR"/>
    <n v="141324.12"/>
    <n v="141324.12"/>
    <n v="118384.6312788309"/>
    <n v="118384.6312788309"/>
    <n v="0.19377083387741267"/>
    <s v=""/>
    <x v="0"/>
  </r>
  <r>
    <s v="DE01"/>
    <s v="FR01"/>
    <x v="2"/>
    <s v="France"/>
    <x v="2"/>
    <d v="2025-09-11T00:00:00"/>
    <s v="USD"/>
    <n v="82653.11"/>
    <n v="74387.798999999999"/>
    <n v="76911.226260606723"/>
    <n v="69220.10363454606"/>
    <n v="7.4655990010319334E-2"/>
    <s v=""/>
    <x v="0"/>
  </r>
  <r>
    <s v="ES01"/>
    <s v="DE01"/>
    <x v="3"/>
    <s v="Germany"/>
    <x v="2"/>
    <d v="2025-10-25T00:00:00"/>
    <s v="PLN"/>
    <n v="100128.35"/>
    <n v="22028.237000000001"/>
    <n v="81722.783801091631"/>
    <n v="17979.012436240158"/>
    <n v="0.22521952071170781"/>
    <s v=""/>
    <x v="0"/>
  </r>
  <r>
    <s v="DE01"/>
    <s v="FR01"/>
    <x v="2"/>
    <s v="France"/>
    <x v="2"/>
    <d v="2025-03-05T00:00:00"/>
    <s v="EUR"/>
    <n v="137030.91"/>
    <n v="137030.91"/>
    <n v="104736.01518449689"/>
    <n v="104736.01518449689"/>
    <n v="0.30834565128923702"/>
    <s v=""/>
    <x v="0"/>
  </r>
  <r>
    <s v="PL01"/>
    <s v="FR01"/>
    <x v="0"/>
    <s v="France"/>
    <x v="1"/>
    <d v="2025-08-27T00:00:00"/>
    <s v="EUR"/>
    <n v="176909.15"/>
    <n v="176909.15"/>
    <n v="126249.27601271321"/>
    <n v="126249.27601271321"/>
    <n v="0.40126862970830324"/>
    <s v=""/>
    <x v="0"/>
  </r>
  <r>
    <s v="ES01"/>
    <s v="NL01"/>
    <x v="3"/>
    <s v="Netherlands"/>
    <x v="0"/>
    <d v="2025-10-09T00:00:00"/>
    <s v="PLN"/>
    <n v="41199.01"/>
    <n v="9063.7821999999996"/>
    <n v="27826.95203056739"/>
    <n v="6121.9294467248255"/>
    <n v="0.48054339385584355"/>
    <s v=""/>
    <x v="0"/>
  </r>
  <r>
    <s v="PL01"/>
    <s v="NL01"/>
    <x v="0"/>
    <s v="Netherlands"/>
    <x v="2"/>
    <d v="2025-01-06T00:00:00"/>
    <s v="EUR"/>
    <n v="96991.56"/>
    <n v="96991.56"/>
    <n v="82991.290168253079"/>
    <n v="82991.290168253079"/>
    <n v="0.16869565231921754"/>
    <s v=""/>
    <x v="0"/>
  </r>
  <r>
    <s v="ES01"/>
    <s v="NL01"/>
    <x v="3"/>
    <s v="Netherlands"/>
    <x v="1"/>
    <d v="2025-12-28T00:00:00"/>
    <s v="USD"/>
    <n v="105888.93"/>
    <n v="95300.036999999997"/>
    <n v="78211.776351233799"/>
    <n v="70390.598716110428"/>
    <n v="0.35387450509336982"/>
    <s v=""/>
    <x v="0"/>
  </r>
  <r>
    <s v="FR01"/>
    <s v="PL01"/>
    <x v="4"/>
    <s v="Poland"/>
    <x v="2"/>
    <d v="2025-11-23T00:00:00"/>
    <s v="USD"/>
    <n v="29342.45"/>
    <n v="26408.205000000002"/>
    <n v="25276.994400169671"/>
    <n v="22749.294960152703"/>
    <n v="0.16083619497906138"/>
    <s v=""/>
    <x v="0"/>
  </r>
  <r>
    <s v="NL01"/>
    <s v="ES01"/>
    <x v="1"/>
    <s v="Spain"/>
    <x v="1"/>
    <d v="2025-11-23T00:00:00"/>
    <s v="PLN"/>
    <n v="192577.59"/>
    <n v="42367.069799999997"/>
    <n v="122306.58199258109"/>
    <n v="26907.448038367842"/>
    <n v="0.57454804853986852"/>
    <s v=""/>
    <x v="0"/>
  </r>
  <r>
    <s v="NL01"/>
    <s v="FR01"/>
    <x v="1"/>
    <s v="France"/>
    <x v="1"/>
    <d v="2025-07-29T00:00:00"/>
    <s v="EUR"/>
    <n v="142181.48000000001"/>
    <n v="142181.48000000001"/>
    <n v="114193.97955951"/>
    <n v="114193.97955951"/>
    <n v="0.24508735529183359"/>
    <s v=""/>
    <x v="0"/>
  </r>
  <r>
    <s v="DE01"/>
    <s v="ES01"/>
    <x v="2"/>
    <s v="Spain"/>
    <x v="1"/>
    <d v="2025-11-02T00:00:00"/>
    <s v="EUR"/>
    <n v="50181.82"/>
    <n v="50181.82"/>
    <n v="44145.996133718203"/>
    <n v="44145.996133718203"/>
    <n v="0.13672415156290252"/>
    <s v=""/>
    <x v="0"/>
  </r>
  <r>
    <s v="DE01"/>
    <s v="NL01"/>
    <x v="2"/>
    <s v="Netherlands"/>
    <x v="0"/>
    <d v="2025-12-09T00:00:00"/>
    <s v="USD"/>
    <n v="125485.95"/>
    <n v="112937.355"/>
    <n v="81797.92883446443"/>
    <n v="73618.13595101799"/>
    <n v="0.53409691159720674"/>
    <s v=""/>
    <x v="0"/>
  </r>
  <r>
    <s v="DE01"/>
    <s v="FR01"/>
    <x v="2"/>
    <s v="France"/>
    <x v="0"/>
    <d v="2025-09-17T00:00:00"/>
    <s v="PLN"/>
    <n v="76874"/>
    <n v="16912.28"/>
    <n v="51232.428932864408"/>
    <n v="11271.134365230169"/>
    <n v="0.50049493262825018"/>
    <s v=""/>
    <x v="0"/>
  </r>
  <r>
    <s v="DE01"/>
    <s v="NL01"/>
    <x v="2"/>
    <s v="Netherlands"/>
    <x v="1"/>
    <d v="2025-02-13T00:00:00"/>
    <s v="EUR"/>
    <n v="115996.1"/>
    <n v="115996.1"/>
    <n v="86298.818486595119"/>
    <n v="86298.818486595119"/>
    <n v="0.34412153067909956"/>
    <s v=""/>
    <x v="0"/>
  </r>
  <r>
    <s v="PL01"/>
    <s v="FR01"/>
    <x v="0"/>
    <s v="France"/>
    <x v="0"/>
    <d v="2025-08-15T00:00:00"/>
    <s v="EUR"/>
    <n v="50285.66"/>
    <n v="50285.66"/>
    <n v="42941.843023813257"/>
    <n v="42941.843023813257"/>
    <n v="0.17101774071770179"/>
    <s v=""/>
    <x v="0"/>
  </r>
  <r>
    <s v="ES01"/>
    <s v="NL01"/>
    <x v="3"/>
    <s v="Netherlands"/>
    <x v="1"/>
    <d v="2025-11-22T00:00:00"/>
    <s v="PLN"/>
    <n v="53871.43"/>
    <n v="11851.714599999999"/>
    <n v="40471.009697406444"/>
    <n v="8903.6221334294169"/>
    <n v="0.3311115883390553"/>
    <s v=""/>
    <x v="0"/>
  </r>
  <r>
    <s v="FR01"/>
    <s v="DE01"/>
    <x v="4"/>
    <s v="Germany"/>
    <x v="1"/>
    <d v="2025-07-21T00:00:00"/>
    <s v="EUR"/>
    <n v="57713.94"/>
    <n v="57713.94"/>
    <n v="40720.619923080267"/>
    <n v="40720.619923080267"/>
    <n v="0.41731486674366658"/>
    <s v=""/>
    <x v="0"/>
  </r>
  <r>
    <s v="DE01"/>
    <s v="PL01"/>
    <x v="2"/>
    <s v="Poland"/>
    <x v="0"/>
    <d v="2025-11-20T00:00:00"/>
    <s v="PLN"/>
    <n v="171263.81"/>
    <n v="37678.038200000003"/>
    <n v="133289.43794787861"/>
    <n v="29323.676348533296"/>
    <n v="0.28490158437738222"/>
    <s v=""/>
    <x v="0"/>
  </r>
  <r>
    <s v="ES01"/>
    <s v="PL01"/>
    <x v="3"/>
    <s v="Poland"/>
    <x v="1"/>
    <d v="2025-06-21T00:00:00"/>
    <s v="USD"/>
    <n v="137865.03"/>
    <n v="124078.527"/>
    <n v="83186.498985140875"/>
    <n v="74867.849086626797"/>
    <n v="0.65730054374119073"/>
    <s v=""/>
    <x v="0"/>
  </r>
  <r>
    <s v="NL01"/>
    <s v="PL01"/>
    <x v="1"/>
    <s v="Poland"/>
    <x v="2"/>
    <d v="2025-07-26T00:00:00"/>
    <s v="USD"/>
    <n v="160960.20000000001"/>
    <n v="144864.18000000002"/>
    <n v="113860.5952446851"/>
    <n v="102474.53572021659"/>
    <n v="0.41366027161634294"/>
    <s v=""/>
    <x v="0"/>
  </r>
  <r>
    <s v="DE01"/>
    <s v="NL01"/>
    <x v="2"/>
    <s v="Netherlands"/>
    <x v="0"/>
    <d v="2025-07-14T00:00:00"/>
    <s v="PLN"/>
    <n v="113503.74"/>
    <n v="24970.822800000002"/>
    <n v="93903.013005272805"/>
    <n v="20658.662861160017"/>
    <n v="0.20873373885912042"/>
    <s v=""/>
    <x v="0"/>
  </r>
  <r>
    <s v="DE01"/>
    <s v="PL01"/>
    <x v="2"/>
    <s v="Poland"/>
    <x v="1"/>
    <d v="2025-08-15T00:00:00"/>
    <s v="USD"/>
    <n v="30235.41"/>
    <n v="27211.868999999999"/>
    <n v="27776.988551715891"/>
    <n v="24999.289696544303"/>
    <n v="8.8505686774034392E-2"/>
    <s v=""/>
    <x v="0"/>
  </r>
  <r>
    <s v="FR01"/>
    <s v="PL01"/>
    <x v="4"/>
    <s v="Poland"/>
    <x v="2"/>
    <d v="2025-07-28T00:00:00"/>
    <s v="PLN"/>
    <n v="181288.66"/>
    <n v="39883.5052"/>
    <n v="129567.3933585332"/>
    <n v="28504.826538877303"/>
    <n v="0.39918428009388124"/>
    <s v=""/>
    <x v="0"/>
  </r>
  <r>
    <s v="FR01"/>
    <s v="NL01"/>
    <x v="4"/>
    <s v="Netherlands"/>
    <x v="1"/>
    <d v="2025-01-16T00:00:00"/>
    <s v="PLN"/>
    <n v="160296.34"/>
    <n v="35265.194799999997"/>
    <n v="129334.2135447695"/>
    <n v="28453.526979849292"/>
    <n v="0.23939625569001374"/>
    <s v=""/>
    <x v="0"/>
  </r>
  <r>
    <s v="ES01"/>
    <s v="FR01"/>
    <x v="3"/>
    <s v="France"/>
    <x v="1"/>
    <d v="2025-04-11T00:00:00"/>
    <s v="USD"/>
    <n v="35738.29"/>
    <n v="32164.461000000003"/>
    <n v="22624.491515046921"/>
    <n v="20362.04236354223"/>
    <n v="0.57962842949338578"/>
    <s v=""/>
    <x v="0"/>
  </r>
  <r>
    <s v="FR01"/>
    <s v="NL01"/>
    <x v="4"/>
    <s v="Netherlands"/>
    <x v="2"/>
    <d v="2025-05-06T00:00:00"/>
    <s v="USD"/>
    <n v="55443.39"/>
    <n v="49899.050999999999"/>
    <n v="51875.27256803833"/>
    <n v="46687.745311234496"/>
    <n v="6.8782625234051847E-2"/>
    <s v=""/>
    <x v="0"/>
  </r>
  <r>
    <s v="FR01"/>
    <s v="PL01"/>
    <x v="4"/>
    <s v="Poland"/>
    <x v="1"/>
    <d v="2025-08-27T00:00:00"/>
    <s v="EUR"/>
    <n v="83245.600000000006"/>
    <n v="83245.600000000006"/>
    <n v="77489.627667385124"/>
    <n v="77489.627667385124"/>
    <n v="7.4280552196246158E-2"/>
    <s v=""/>
    <x v="1"/>
  </r>
  <r>
    <s v="ES01"/>
    <s v="NL01"/>
    <x v="3"/>
    <s v="Netherlands"/>
    <x v="2"/>
    <d v="2025-12-24T00:00:00"/>
    <s v="EUR"/>
    <n v="51248.79"/>
    <n v="51248.79"/>
    <n v="39952.337070935042"/>
    <n v="39952.337070935042"/>
    <n v="0.28274823845744496"/>
    <s v=""/>
    <x v="0"/>
  </r>
  <r>
    <s v="DE01"/>
    <s v="NL01"/>
    <x v="2"/>
    <s v="Netherlands"/>
    <x v="2"/>
    <d v="2025-09-12T00:00:00"/>
    <s v="USD"/>
    <n v="155362.35999999999"/>
    <n v="139826.12399999998"/>
    <n v="146595.8660960276"/>
    <n v="131936.27948642484"/>
    <n v="5.9800416870076582E-2"/>
    <s v=""/>
    <x v="0"/>
  </r>
  <r>
    <s v="NL01"/>
    <s v="FR01"/>
    <x v="1"/>
    <s v="France"/>
    <x v="2"/>
    <d v="2025-03-20T00:00:00"/>
    <s v="USD"/>
    <n v="129804.71"/>
    <n v="116824.239"/>
    <n v="114311.5641238072"/>
    <n v="102880.40771142648"/>
    <n v="0.13553437042828553"/>
    <s v=""/>
    <x v="1"/>
  </r>
  <r>
    <s v="ES01"/>
    <s v="FR01"/>
    <x v="3"/>
    <s v="France"/>
    <x v="2"/>
    <d v="2025-07-06T00:00:00"/>
    <s v="PLN"/>
    <n v="113164.12"/>
    <n v="24896.106400000001"/>
    <n v="84329.891390430712"/>
    <n v="18552.576105894757"/>
    <n v="0.34192180416873197"/>
    <s v=""/>
    <x v="0"/>
  </r>
  <r>
    <s v="NL01"/>
    <s v="PL01"/>
    <x v="1"/>
    <s v="Poland"/>
    <x v="0"/>
    <d v="2025-08-30T00:00:00"/>
    <s v="EUR"/>
    <n v="72961.279999999999"/>
    <n v="72961.279999999999"/>
    <n v="68520.86354978579"/>
    <n v="68520.86354978579"/>
    <n v="6.4803860024150117E-2"/>
    <s v=""/>
    <x v="1"/>
  </r>
  <r>
    <s v="ES01"/>
    <s v="FR01"/>
    <x v="3"/>
    <s v="France"/>
    <x v="1"/>
    <d v="2025-10-16T00:00:00"/>
    <s v="EUR"/>
    <n v="25651.7"/>
    <n v="25651.7"/>
    <n v="21583.825011853231"/>
    <n v="21583.825011853231"/>
    <n v="0.18846867901833003"/>
    <s v=""/>
    <x v="0"/>
  </r>
  <r>
    <s v="PL01"/>
    <s v="DE01"/>
    <x v="0"/>
    <s v="Germany"/>
    <x v="2"/>
    <d v="2025-05-27T00:00:00"/>
    <s v="PLN"/>
    <n v="78916.09"/>
    <n v="17361.539799999999"/>
    <n v="53918.040214201908"/>
    <n v="11861.968847124421"/>
    <n v="0.46363053416792477"/>
    <s v=""/>
    <x v="0"/>
  </r>
  <r>
    <s v="ES01"/>
    <s v="NL01"/>
    <x v="3"/>
    <s v="Netherlands"/>
    <x v="1"/>
    <d v="2025-12-13T00:00:00"/>
    <s v="USD"/>
    <n v="73614.759999999995"/>
    <n v="66253.284"/>
    <n v="49360.993335713123"/>
    <n v="44424.894002141809"/>
    <n v="0.49135491458473263"/>
    <s v=""/>
    <x v="0"/>
  </r>
  <r>
    <s v="ES01"/>
    <s v="FR01"/>
    <x v="3"/>
    <s v="France"/>
    <x v="1"/>
    <d v="2025-12-10T00:00:00"/>
    <s v="PLN"/>
    <n v="34021.71"/>
    <n v="7484.7762000000002"/>
    <n v="28856.372035879969"/>
    <n v="6348.4018478935932"/>
    <n v="0.17900164156802037"/>
    <s v=""/>
    <x v="0"/>
  </r>
  <r>
    <s v="FR01"/>
    <s v="ES01"/>
    <x v="4"/>
    <s v="Spain"/>
    <x v="0"/>
    <d v="2025-03-10T00:00:00"/>
    <s v="PLN"/>
    <n v="30601.42"/>
    <n v="6732.3123999999998"/>
    <n v="27950.87982751122"/>
    <n v="6149.1935620524682"/>
    <n v="9.4828505894828108E-2"/>
    <s v=""/>
    <x v="1"/>
  </r>
  <r>
    <s v="PL01"/>
    <s v="NL01"/>
    <x v="0"/>
    <s v="Netherlands"/>
    <x v="0"/>
    <d v="2025-12-11T00:00:00"/>
    <s v="USD"/>
    <n v="55446.95"/>
    <n v="49902.254999999997"/>
    <n v="52204.029214429298"/>
    <n v="46983.626292986366"/>
    <n v="6.2120124334662505E-2"/>
    <s v=""/>
    <x v="1"/>
  </r>
  <r>
    <s v="PL01"/>
    <s v="NL01"/>
    <x v="0"/>
    <s v="Netherlands"/>
    <x v="2"/>
    <d v="2025-06-22T00:00:00"/>
    <s v="USD"/>
    <n v="143178.72"/>
    <n v="128860.848"/>
    <n v="87236.344796288904"/>
    <n v="78512.710316660014"/>
    <n v="0.64127371836068636"/>
    <s v=""/>
    <x v="0"/>
  </r>
  <r>
    <s v="NL01"/>
    <s v="ES01"/>
    <x v="1"/>
    <s v="Spain"/>
    <x v="2"/>
    <d v="2025-04-29T00:00:00"/>
    <s v="USD"/>
    <n v="91996.42"/>
    <n v="82796.778000000006"/>
    <n v="79028.064982689772"/>
    <n v="71125.258484420803"/>
    <n v="0.16409809629213115"/>
    <s v=""/>
    <x v="0"/>
  </r>
  <r>
    <s v="DE01"/>
    <s v="ES01"/>
    <x v="2"/>
    <s v="Spain"/>
    <x v="0"/>
    <d v="2025-09-24T00:00:00"/>
    <s v="EUR"/>
    <n v="71631.13"/>
    <n v="71631.13"/>
    <n v="56609.173673167548"/>
    <n v="56609.173673167548"/>
    <n v="0.26536257910354882"/>
    <s v=""/>
    <x v="0"/>
  </r>
  <r>
    <s v="ES01"/>
    <s v="FR01"/>
    <x v="3"/>
    <s v="France"/>
    <x v="0"/>
    <d v="2025-04-27T00:00:00"/>
    <s v="PLN"/>
    <n v="108454.76"/>
    <n v="23860.047199999997"/>
    <n v="80482.087986019513"/>
    <n v="17706.059356924292"/>
    <n v="0.3475639451456527"/>
    <s v=""/>
    <x v="0"/>
  </r>
  <r>
    <s v="DE01"/>
    <s v="PL01"/>
    <x v="2"/>
    <s v="Poland"/>
    <x v="2"/>
    <d v="2025-04-03T00:00:00"/>
    <s v="EUR"/>
    <n v="27562.13"/>
    <n v="27562.13"/>
    <n v="23019.477522235618"/>
    <n v="23019.477522235618"/>
    <n v="0.19733951273987069"/>
    <s v=""/>
    <x v="0"/>
  </r>
  <r>
    <s v="PL01"/>
    <s v="NL01"/>
    <x v="0"/>
    <s v="Netherlands"/>
    <x v="1"/>
    <d v="2025-04-06T00:00:00"/>
    <s v="PLN"/>
    <n v="167594.56"/>
    <n v="36870.803200000002"/>
    <n v="126405.3699891414"/>
    <n v="27809.181397611108"/>
    <n v="0.32585000158139549"/>
    <s v=""/>
    <x v="0"/>
  </r>
  <r>
    <s v="NL01"/>
    <s v="DE01"/>
    <x v="1"/>
    <s v="Germany"/>
    <x v="2"/>
    <d v="2025-10-20T00:00:00"/>
    <s v="PLN"/>
    <n v="23962.37"/>
    <n v="5271.7213999999994"/>
    <n v="20197.516098939981"/>
    <n v="4443.4535417667958"/>
    <n v="0.18640182696809962"/>
    <s v=""/>
    <x v="0"/>
  </r>
  <r>
    <s v="PL01"/>
    <s v="DE01"/>
    <x v="0"/>
    <s v="Germany"/>
    <x v="1"/>
    <d v="2025-01-01T00:00:00"/>
    <s v="EUR"/>
    <n v="177957.35"/>
    <n v="177957.35"/>
    <n v="167849.91466271551"/>
    <n v="167849.91466271551"/>
    <n v="6.0217101436094184E-2"/>
    <s v=""/>
    <x v="1"/>
  </r>
  <r>
    <s v="FR01"/>
    <s v="NL01"/>
    <x v="4"/>
    <s v="Netherlands"/>
    <x v="0"/>
    <d v="2025-02-18T00:00:00"/>
    <s v="EUR"/>
    <n v="166829.99"/>
    <n v="166829.99"/>
    <n v="102202.02649044451"/>
    <n v="102202.02649044451"/>
    <n v="0.63235501025606322"/>
    <s v=""/>
    <x v="0"/>
  </r>
  <r>
    <s v="DE01"/>
    <s v="FR01"/>
    <x v="2"/>
    <s v="France"/>
    <x v="1"/>
    <d v="2025-11-15T00:00:00"/>
    <s v="PLN"/>
    <n v="36291.19"/>
    <n v="7984.0618000000004"/>
    <n v="33306.473991876519"/>
    <n v="7327.424278212834"/>
    <n v="8.9613689184014467E-2"/>
    <s v=""/>
    <x v="0"/>
  </r>
  <r>
    <s v="FR01"/>
    <s v="ES01"/>
    <x v="4"/>
    <s v="Spain"/>
    <x v="2"/>
    <d v="2025-10-14T00:00:00"/>
    <s v="EUR"/>
    <n v="176306.06"/>
    <n v="176306.06"/>
    <n v="135074.03097220071"/>
    <n v="135074.03097220071"/>
    <n v="0.30525504222410571"/>
    <s v=""/>
    <x v="0"/>
  </r>
  <r>
    <s v="DE01"/>
    <s v="PL01"/>
    <x v="2"/>
    <s v="Poland"/>
    <x v="0"/>
    <d v="2025-12-19T00:00:00"/>
    <s v="EUR"/>
    <n v="67510.240000000005"/>
    <n v="67510.240000000005"/>
    <n v="55842.945954177732"/>
    <n v="55842.945954177732"/>
    <n v="0.20893048972373238"/>
    <s v=""/>
    <x v="0"/>
  </r>
  <r>
    <s v="PL01"/>
    <s v="NL01"/>
    <x v="0"/>
    <s v="Netherlands"/>
    <x v="0"/>
    <d v="2025-09-13T00:00:00"/>
    <s v="USD"/>
    <n v="137667.99"/>
    <n v="123901.19099999999"/>
    <n v="105615.6158935339"/>
    <n v="95054.054304180521"/>
    <n v="0.30348139179320371"/>
    <s v=""/>
    <x v="0"/>
  </r>
  <r>
    <s v="PL01"/>
    <s v="FR01"/>
    <x v="0"/>
    <s v="France"/>
    <x v="2"/>
    <d v="2025-06-29T00:00:00"/>
    <s v="PLN"/>
    <n v="120455.73"/>
    <n v="26500.260599999998"/>
    <n v="87219.23792292962"/>
    <n v="19188.232343044518"/>
    <n v="0.38106836139108952"/>
    <s v=""/>
    <x v="0"/>
  </r>
  <r>
    <s v="FR01"/>
    <s v="ES01"/>
    <x v="4"/>
    <s v="Spain"/>
    <x v="0"/>
    <d v="2025-06-07T00:00:00"/>
    <s v="USD"/>
    <n v="82465.070000000007"/>
    <n v="74218.563000000009"/>
    <n v="70300.839980124481"/>
    <n v="63270.755982112038"/>
    <n v="0.17303107648947871"/>
    <s v=""/>
    <x v="0"/>
  </r>
  <r>
    <s v="NL01"/>
    <s v="DE01"/>
    <x v="1"/>
    <s v="Germany"/>
    <x v="0"/>
    <d v="2025-02-13T00:00:00"/>
    <s v="PLN"/>
    <n v="58084.73"/>
    <n v="12778.640600000001"/>
    <n v="35291.762284640623"/>
    <n v="7764.1877026209368"/>
    <n v="0.64584385249809817"/>
    <s v=""/>
    <x v="0"/>
  </r>
  <r>
    <s v="ES01"/>
    <s v="PL01"/>
    <x v="3"/>
    <s v="Poland"/>
    <x v="2"/>
    <d v="2025-08-28T00:00:00"/>
    <s v="USD"/>
    <n v="25865.81"/>
    <n v="23279.229000000003"/>
    <n v="23197.819806318988"/>
    <n v="20878.03782568709"/>
    <n v="0.11501038528432164"/>
    <s v=""/>
    <x v="1"/>
  </r>
  <r>
    <s v="PL01"/>
    <s v="FR01"/>
    <x v="0"/>
    <s v="France"/>
    <x v="0"/>
    <d v="2025-04-28T00:00:00"/>
    <s v="PLN"/>
    <n v="33822.69"/>
    <n v="7440.9918000000007"/>
    <n v="30498.66057902473"/>
    <n v="6709.7053273854408"/>
    <n v="0.10898935749530435"/>
    <s v=""/>
    <x v="0"/>
  </r>
  <r>
    <s v="ES01"/>
    <s v="NL01"/>
    <x v="3"/>
    <s v="Netherlands"/>
    <x v="0"/>
    <d v="2025-12-06T00:00:00"/>
    <s v="EUR"/>
    <n v="179833.34"/>
    <n v="179833.34"/>
    <n v="138096.51329941349"/>
    <n v="138096.51329941349"/>
    <n v="0.30222940249110375"/>
    <s v=""/>
    <x v="0"/>
  </r>
  <r>
    <s v="ES01"/>
    <s v="PL01"/>
    <x v="3"/>
    <s v="Poland"/>
    <x v="0"/>
    <d v="2025-08-26T00:00:00"/>
    <s v="PLN"/>
    <n v="63954.85"/>
    <n v="14070.066999999999"/>
    <m/>
    <s v=""/>
    <s v=""/>
    <s v="Missing Cost Base, Margin not calculable"/>
    <x v="2"/>
  </r>
  <r>
    <s v="FR01"/>
    <s v="DE01"/>
    <x v="4"/>
    <s v="Germany"/>
    <x v="1"/>
    <d v="2025-02-20T00:00:00"/>
    <s v="USD"/>
    <n v="170030.63"/>
    <n v="153027.56700000001"/>
    <n v="115680.6833994444"/>
    <n v="104112.61505949996"/>
    <n v="0.46982732988260201"/>
    <s v=""/>
    <x v="0"/>
  </r>
  <r>
    <s v="FR01"/>
    <s v="ES01"/>
    <x v="4"/>
    <s v="Spain"/>
    <x v="1"/>
    <d v="2025-01-23T00:00:00"/>
    <s v="PLN"/>
    <n v="32375.45"/>
    <n v="7122.5990000000002"/>
    <n v="22976.807083074978"/>
    <n v="5054.8975582764951"/>
    <n v="0.40904912866889098"/>
    <s v=""/>
    <x v="0"/>
  </r>
  <r>
    <s v="NL01"/>
    <s v="DE01"/>
    <x v="1"/>
    <s v="Germany"/>
    <x v="0"/>
    <d v="2025-01-31T00:00:00"/>
    <s v="EUR"/>
    <n v="166683.65"/>
    <n v="166683.65"/>
    <m/>
    <s v=""/>
    <s v=""/>
    <s v="Missing Cost Base, Margin not calculable"/>
    <x v="2"/>
  </r>
  <r>
    <s v="ES01"/>
    <s v="DE01"/>
    <x v="3"/>
    <s v="Germany"/>
    <x v="1"/>
    <d v="2025-04-20T00:00:00"/>
    <s v="PLN"/>
    <n v="108967.23"/>
    <n v="23972.7906"/>
    <n v="97211.734643740943"/>
    <n v="21386.581621623009"/>
    <n v="0.12092671115622294"/>
    <s v=""/>
    <x v="0"/>
  </r>
  <r>
    <s v="ES01"/>
    <s v="NL01"/>
    <x v="3"/>
    <s v="Netherlands"/>
    <x v="2"/>
    <d v="2025-04-15T00:00:00"/>
    <s v="EUR"/>
    <n v="150892.29999999999"/>
    <n v="150892.29999999999"/>
    <m/>
    <s v=""/>
    <s v=""/>
    <s v="Missing Cost Base, Margin not calculable"/>
    <x v="2"/>
  </r>
  <r>
    <s v="NL01"/>
    <s v="FR01"/>
    <x v="1"/>
    <s v="France"/>
    <x v="2"/>
    <d v="2025-10-07T00:00:00"/>
    <s v="PLN"/>
    <n v="30355.57"/>
    <n v="6678.2254000000003"/>
    <n v="21034.62907239392"/>
    <n v="4627.6183959266627"/>
    <n v="0.44312361751313145"/>
    <s v=""/>
    <x v="0"/>
  </r>
  <r>
    <s v="NL01"/>
    <s v="FR01"/>
    <x v="1"/>
    <s v="France"/>
    <x v="0"/>
    <d v="2025-09-11T00:00:00"/>
    <s v="USD"/>
    <n v="55890.9"/>
    <n v="50301.810000000005"/>
    <n v="43179.680552897509"/>
    <n v="38861.712497607761"/>
    <n v="0.29437965460468246"/>
    <s v=""/>
    <x v="0"/>
  </r>
  <r>
    <s v="FR01"/>
    <s v="NL01"/>
    <x v="4"/>
    <s v="Netherlands"/>
    <x v="2"/>
    <d v="2025-11-29T00:00:00"/>
    <s v="USD"/>
    <n v="189195.98"/>
    <n v="170276.38200000001"/>
    <m/>
    <s v=""/>
    <s v=""/>
    <s v="Missing Cost Base, Margin not calculable"/>
    <x v="2"/>
  </r>
  <r>
    <s v="ES01"/>
    <s v="PL01"/>
    <x v="3"/>
    <s v="Poland"/>
    <x v="2"/>
    <d v="2025-01-11T00:00:00"/>
    <s v="EUR"/>
    <n v="109992.82"/>
    <n v="109992.82"/>
    <n v="90550.793753213104"/>
    <n v="90550.793753213104"/>
    <n v="0.21470851265836666"/>
    <s v=""/>
    <x v="0"/>
  </r>
  <r>
    <s v="FR01"/>
    <s v="NL01"/>
    <x v="4"/>
    <s v="Netherlands"/>
    <x v="1"/>
    <d v="2025-12-05T00:00:00"/>
    <s v="EUR"/>
    <n v="73035.179999999993"/>
    <n v="73035.179999999993"/>
    <n v="68484.651280141785"/>
    <n v="68484.651280141785"/>
    <n v="6.644596467672613E-2"/>
    <s v=""/>
    <x v="1"/>
  </r>
  <r>
    <s v="ES01"/>
    <s v="NL01"/>
    <x v="3"/>
    <s v="Netherlands"/>
    <x v="2"/>
    <d v="2025-07-14T00:00:00"/>
    <s v="EUR"/>
    <n v="158455.54"/>
    <n v="158455.54"/>
    <n v="116137.0012145481"/>
    <n v="116137.0012145481"/>
    <n v="0.36438463489576312"/>
    <s v=""/>
    <x v="0"/>
  </r>
  <r>
    <s v="PL01"/>
    <s v="ES01"/>
    <x v="0"/>
    <s v="Spain"/>
    <x v="1"/>
    <d v="2025-07-01T00:00:00"/>
    <s v="PLN"/>
    <n v="34821.32"/>
    <n v="7660.6904000000004"/>
    <n v="26628.708959035059"/>
    <n v="5858.3159709877127"/>
    <n v="0.30766084279820899"/>
    <s v=""/>
    <x v="0"/>
  </r>
  <r>
    <s v="FR01"/>
    <s v="DE01"/>
    <x v="4"/>
    <s v="Germany"/>
    <x v="0"/>
    <d v="2025-05-22T00:00:00"/>
    <s v="PLN"/>
    <n v="167180.04999999999"/>
    <n v="36779.610999999997"/>
    <n v="143769.44150127051"/>
    <n v="31629.277130279512"/>
    <n v="0.16283438437453063"/>
    <s v=""/>
    <x v="0"/>
  </r>
  <r>
    <s v="FR01"/>
    <s v="PL01"/>
    <x v="4"/>
    <s v="Poland"/>
    <x v="2"/>
    <d v="2025-12-24T00:00:00"/>
    <s v="PLN"/>
    <n v="104108.27"/>
    <n v="22903.8194"/>
    <n v="68742.422423186727"/>
    <n v="15123.332933101079"/>
    <n v="0.51446903280621703"/>
    <s v=""/>
    <x v="0"/>
  </r>
  <r>
    <s v="PL01"/>
    <s v="DE01"/>
    <x v="0"/>
    <s v="Germany"/>
    <x v="0"/>
    <d v="2025-08-23T00:00:00"/>
    <s v="PLN"/>
    <n v="24916.37"/>
    <n v="5481.6013999999996"/>
    <n v="17376.965302785458"/>
    <n v="3822.9323666128007"/>
    <n v="0.43387349665744018"/>
    <s v=""/>
    <x v="0"/>
  </r>
  <r>
    <s v="ES01"/>
    <s v="PL01"/>
    <x v="3"/>
    <s v="Poland"/>
    <x v="2"/>
    <d v="2025-03-25T00:00:00"/>
    <s v="USD"/>
    <n v="114400.89"/>
    <n v="102960.80100000001"/>
    <n v="100957.2774458443"/>
    <n v="90861.549701259879"/>
    <n v="0.13316140147863184"/>
    <s v=""/>
    <x v="1"/>
  </r>
  <r>
    <s v="PL01"/>
    <s v="ES01"/>
    <x v="0"/>
    <s v="Spain"/>
    <x v="0"/>
    <d v="2025-04-20T00:00:00"/>
    <s v="PLN"/>
    <n v="113466.85"/>
    <n v="24962.707000000002"/>
    <m/>
    <s v=""/>
    <s v=""/>
    <s v="Missing Cost Base, Margin not calculable"/>
    <x v="2"/>
  </r>
  <r>
    <s v="ES01"/>
    <s v="PL01"/>
    <x v="3"/>
    <s v="Poland"/>
    <x v="0"/>
    <d v="2025-04-24T00:00:00"/>
    <s v="EUR"/>
    <n v="125184.14"/>
    <n v="125184.14"/>
    <m/>
    <s v=""/>
    <s v=""/>
    <s v="Missing Cost Base, Margin not calculable"/>
    <x v="2"/>
  </r>
  <r>
    <s v="DE01"/>
    <s v="PL01"/>
    <x v="2"/>
    <s v="Poland"/>
    <x v="0"/>
    <d v="2025-02-23T00:00:00"/>
    <s v="USD"/>
    <n v="19423.95"/>
    <n v="17481.555"/>
    <n v="14177.480217412391"/>
    <n v="12759.732195671151"/>
    <n v="0.37005657579010692"/>
    <s v=""/>
    <x v="0"/>
  </r>
  <r>
    <s v="FR01"/>
    <s v="ES01"/>
    <x v="4"/>
    <s v="Spain"/>
    <x v="2"/>
    <d v="2025-06-16T00:00:00"/>
    <s v="EUR"/>
    <n v="125891.37"/>
    <n v="125891.37"/>
    <m/>
    <s v=""/>
    <s v=""/>
    <s v="Missing Cost Base, Margin not calculable"/>
    <x v="2"/>
  </r>
  <r>
    <s v="NL01"/>
    <s v="FR01"/>
    <x v="1"/>
    <s v="France"/>
    <x v="0"/>
    <d v="2025-07-26T00:00:00"/>
    <s v="USD"/>
    <n v="197780.15"/>
    <n v="178002.13500000001"/>
    <n v="170262.4144406984"/>
    <n v="153236.17299662856"/>
    <n v="0.16161955443716503"/>
    <s v=""/>
    <x v="0"/>
  </r>
  <r>
    <s v="NL01"/>
    <s v="FR01"/>
    <x v="1"/>
    <s v="France"/>
    <x v="1"/>
    <d v="2025-06-28T00:00:00"/>
    <s v="EUR"/>
    <n v="77166.42"/>
    <n v="77166.42"/>
    <n v="48096.885722922823"/>
    <n v="48096.885722922823"/>
    <n v="0.60439535408885581"/>
    <s v=""/>
    <x v="0"/>
  </r>
  <r>
    <s v="FR01"/>
    <s v="NL01"/>
    <x v="4"/>
    <s v="Netherlands"/>
    <x v="2"/>
    <d v="2025-05-04T00:00:00"/>
    <s v="EUR"/>
    <n v="129694.87"/>
    <n v="129694.87"/>
    <n v="80811.107278462936"/>
    <n v="80811.107278462936"/>
    <n v="0.60491390809794199"/>
    <s v=""/>
    <x v="0"/>
  </r>
  <r>
    <s v="FR01"/>
    <s v="ES01"/>
    <x v="4"/>
    <s v="Spain"/>
    <x v="2"/>
    <d v="2025-01-15T00:00:00"/>
    <s v="PLN"/>
    <n v="186734.55"/>
    <n v="41081.600999999995"/>
    <n v="174065.67745519019"/>
    <n v="38294.449040141844"/>
    <n v="7.278214022446286E-2"/>
    <s v=""/>
    <x v="0"/>
  </r>
  <r>
    <s v="NL01"/>
    <s v="DE01"/>
    <x v="1"/>
    <s v="Germany"/>
    <x v="0"/>
    <d v="2025-11-29T00:00:00"/>
    <s v="PLN"/>
    <n v="81051.5"/>
    <n v="17831.330000000002"/>
    <n v="74904.837867344337"/>
    <n v="16479.064330815756"/>
    <n v="8.2059614674573289E-2"/>
    <s v=""/>
    <x v="1"/>
  </r>
  <r>
    <s v="FR01"/>
    <s v="PL01"/>
    <x v="4"/>
    <s v="Poland"/>
    <x v="2"/>
    <d v="2025-09-11T00:00:00"/>
    <s v="EUR"/>
    <n v="38921.360000000001"/>
    <n v="38921.360000000001"/>
    <n v="23646.03714325243"/>
    <n v="23646.03714325243"/>
    <n v="0.64599927523612544"/>
    <s v=""/>
    <x v="0"/>
  </r>
  <r>
    <s v="DE01"/>
    <s v="NL01"/>
    <x v="2"/>
    <s v="Netherlands"/>
    <x v="2"/>
    <d v="2025-12-07T00:00:00"/>
    <s v="EUR"/>
    <n v="25551.29"/>
    <n v="25551.29"/>
    <n v="17848.007061570988"/>
    <n v="17848.007061570988"/>
    <n v="0.4316046554584323"/>
    <s v=""/>
    <x v="0"/>
  </r>
  <r>
    <s v="PL01"/>
    <s v="ES01"/>
    <x v="0"/>
    <s v="Spain"/>
    <x v="2"/>
    <d v="2025-09-27T00:00:00"/>
    <s v="EUR"/>
    <n v="94676.65"/>
    <n v="94676.65"/>
    <n v="73051.436410323877"/>
    <n v="73051.436410323877"/>
    <n v="0.29602721934458731"/>
    <s v=""/>
    <x v="0"/>
  </r>
  <r>
    <s v="FR01"/>
    <s v="ES01"/>
    <x v="4"/>
    <s v="Spain"/>
    <x v="2"/>
    <d v="2025-09-04T00:00:00"/>
    <s v="USD"/>
    <n v="47586.68"/>
    <n v="42828.012000000002"/>
    <n v="42127.774932635257"/>
    <n v="37914.997439371735"/>
    <n v="0.12957971495275611"/>
    <s v=""/>
    <x v="1"/>
  </r>
  <r>
    <s v="FR01"/>
    <s v="PL01"/>
    <x v="4"/>
    <s v="Poland"/>
    <x v="2"/>
    <d v="2025-10-19T00:00:00"/>
    <s v="USD"/>
    <n v="15512.31"/>
    <n v="13961.079"/>
    <n v="9309.5687171598584"/>
    <n v="8378.6118454438729"/>
    <n v="0.66627590077367826"/>
    <s v=""/>
    <x v="0"/>
  </r>
  <r>
    <s v="NL01"/>
    <s v="DE01"/>
    <x v="1"/>
    <s v="Germany"/>
    <x v="2"/>
    <d v="2025-10-20T00:00:00"/>
    <s v="PLN"/>
    <n v="21039.71"/>
    <n v="4628.7362000000003"/>
    <n v="15184.18000318584"/>
    <n v="3340.5196007008849"/>
    <n v="0.38563359994320362"/>
    <s v=""/>
    <x v="0"/>
  </r>
  <r>
    <s v="FR01"/>
    <s v="PL01"/>
    <x v="4"/>
    <s v="Poland"/>
    <x v="2"/>
    <d v="2025-01-03T00:00:00"/>
    <s v="PLN"/>
    <n v="158932.97"/>
    <n v="34965.253400000001"/>
    <n v="121358.3638921153"/>
    <n v="26698.840056265366"/>
    <n v="0.30961694689034897"/>
    <s v=""/>
    <x v="0"/>
  </r>
  <r>
    <s v="DE01"/>
    <s v="PL01"/>
    <x v="2"/>
    <s v="Poland"/>
    <x v="2"/>
    <d v="2025-02-07T00:00:00"/>
    <s v="USD"/>
    <n v="108675.28"/>
    <n v="97807.752000000008"/>
    <m/>
    <s v=""/>
    <s v=""/>
    <s v="Missing Cost Base, Margin not calculable"/>
    <x v="2"/>
  </r>
  <r>
    <s v="NL01"/>
    <s v="DE01"/>
    <x v="1"/>
    <s v="Germany"/>
    <x v="0"/>
    <d v="2025-02-02T00:00:00"/>
    <s v="USD"/>
    <n v="88206.7"/>
    <n v="79386.03"/>
    <n v="80827.74068574651"/>
    <n v="72744.966617171856"/>
    <n v="9.1292410893216117E-2"/>
    <s v=""/>
    <x v="1"/>
  </r>
  <r>
    <s v="ES01"/>
    <s v="NL01"/>
    <x v="3"/>
    <s v="Netherlands"/>
    <x v="2"/>
    <d v="2025-02-22T00:00:00"/>
    <s v="USD"/>
    <n v="110440.31"/>
    <n v="99396.278999999995"/>
    <m/>
    <s v=""/>
    <s v=""/>
    <s v="Missing Cost Base, Margin not calculable"/>
    <x v="2"/>
  </r>
  <r>
    <s v="DE01"/>
    <s v="ES01"/>
    <x v="2"/>
    <s v="Spain"/>
    <x v="1"/>
    <d v="2025-09-28T00:00:00"/>
    <s v="USD"/>
    <n v="95813.43"/>
    <n v="86232.087"/>
    <n v="60158.29466760061"/>
    <n v="54142.465200840554"/>
    <n v="0.5926885981294634"/>
    <s v=""/>
    <x v="0"/>
  </r>
  <r>
    <s v="PL01"/>
    <s v="ES01"/>
    <x v="0"/>
    <s v="Spain"/>
    <x v="0"/>
    <d v="2025-05-26T00:00:00"/>
    <s v="EUR"/>
    <n v="173692.48"/>
    <n v="173692.48"/>
    <m/>
    <s v=""/>
    <s v=""/>
    <s v="Missing Cost Base, Margin not calculable"/>
    <x v="2"/>
  </r>
  <r>
    <s v="DE01"/>
    <s v="NL01"/>
    <x v="2"/>
    <s v="Netherlands"/>
    <x v="2"/>
    <d v="2025-11-09T00:00:00"/>
    <s v="EUR"/>
    <n v="48882.79"/>
    <n v="48882.79"/>
    <n v="44892.606819961358"/>
    <n v="44892.606819961358"/>
    <n v="8.8882857617090305E-2"/>
    <s v=""/>
    <x v="1"/>
  </r>
  <r>
    <s v="DE01"/>
    <s v="NL01"/>
    <x v="2"/>
    <s v="Netherlands"/>
    <x v="1"/>
    <d v="2025-06-05T00:00:00"/>
    <s v="USD"/>
    <n v="69990.44"/>
    <n v="62991.396000000001"/>
    <n v="43352.831862369108"/>
    <n v="39017.548676132195"/>
    <n v="0.6144375579015573"/>
    <s v=""/>
    <x v="0"/>
  </r>
  <r>
    <s v="DE01"/>
    <s v="PL01"/>
    <x v="2"/>
    <s v="Poland"/>
    <x v="2"/>
    <d v="2025-06-08T00:00:00"/>
    <s v="EUR"/>
    <n v="105592.12"/>
    <n v="105592.12"/>
    <n v="83460.385611455451"/>
    <n v="83460.385611455451"/>
    <n v="0.26517651729501268"/>
    <s v=""/>
    <x v="0"/>
  </r>
  <r>
    <s v="ES01"/>
    <s v="NL01"/>
    <x v="3"/>
    <s v="Netherlands"/>
    <x v="0"/>
    <d v="2025-01-22T00:00:00"/>
    <s v="EUR"/>
    <n v="14418.5"/>
    <n v="14418.5"/>
    <n v="10634.06323377606"/>
    <n v="10634.06323377606"/>
    <n v="0.35587871569201879"/>
    <s v=""/>
    <x v="0"/>
  </r>
  <r>
    <s v="ES01"/>
    <s v="NL01"/>
    <x v="3"/>
    <s v="Netherlands"/>
    <x v="1"/>
    <d v="2025-06-26T00:00:00"/>
    <s v="EUR"/>
    <n v="173988.61"/>
    <n v="173988.61"/>
    <n v="110406.24553028779"/>
    <n v="110406.24553028779"/>
    <n v="0.57589463498484439"/>
    <s v=""/>
    <x v="0"/>
  </r>
  <r>
    <s v="DE01"/>
    <s v="NL01"/>
    <x v="2"/>
    <s v="Netherlands"/>
    <x v="2"/>
    <d v="2025-10-21T00:00:00"/>
    <s v="PLN"/>
    <n v="160924.98000000001"/>
    <n v="35403.495600000002"/>
    <n v="111182.1735616494"/>
    <n v="24460.078183562866"/>
    <n v="0.44739911844562685"/>
    <s v=""/>
    <x v="0"/>
  </r>
  <r>
    <s v="NL01"/>
    <s v="ES01"/>
    <x v="1"/>
    <s v="Spain"/>
    <x v="1"/>
    <d v="2025-08-16T00:00:00"/>
    <s v="PLN"/>
    <n v="104969.03"/>
    <n v="23093.186600000001"/>
    <n v="98545.390274441888"/>
    <n v="21679.985860377215"/>
    <n v="6.5184578473622537E-2"/>
    <s v=""/>
    <x v="1"/>
  </r>
  <r>
    <s v="PL01"/>
    <s v="NL01"/>
    <x v="0"/>
    <s v="Netherlands"/>
    <x v="1"/>
    <d v="2025-10-30T00:00:00"/>
    <s v="EUR"/>
    <n v="195074.37"/>
    <n v="195074.37"/>
    <n v="152986.8945928984"/>
    <n v="152986.8945928984"/>
    <n v="0.27510510308152419"/>
    <s v=""/>
    <x v="0"/>
  </r>
  <r>
    <s v="ES01"/>
    <s v="NL01"/>
    <x v="3"/>
    <s v="Netherlands"/>
    <x v="2"/>
    <d v="2025-12-29T00:00:00"/>
    <s v="EUR"/>
    <n v="36277.06"/>
    <n v="36277.06"/>
    <n v="32715.42136424331"/>
    <n v="32715.42136424331"/>
    <n v="0.10886727076208229"/>
    <s v=""/>
    <x v="1"/>
  </r>
  <r>
    <s v="FR01"/>
    <s v="NL01"/>
    <x v="4"/>
    <s v="Netherlands"/>
    <x v="0"/>
    <d v="2025-04-06T00:00:00"/>
    <s v="EUR"/>
    <n v="198001.58"/>
    <n v="198001.58"/>
    <n v="170788.31108689541"/>
    <n v="170788.31108689541"/>
    <n v="0.15933917690221044"/>
    <s v=""/>
    <x v="0"/>
  </r>
  <r>
    <s v="NL01"/>
    <s v="ES01"/>
    <x v="1"/>
    <s v="Spain"/>
    <x v="0"/>
    <d v="2025-05-03T00:00:00"/>
    <s v="EUR"/>
    <n v="46332.23"/>
    <n v="46332.23"/>
    <m/>
    <s v=""/>
    <s v=""/>
    <s v="Missing Cost Base, Margin not calculable"/>
    <x v="2"/>
  </r>
  <r>
    <s v="NL01"/>
    <s v="ES01"/>
    <x v="1"/>
    <s v="Spain"/>
    <x v="1"/>
    <d v="2025-10-27T00:00:00"/>
    <s v="PLN"/>
    <n v="158578.29999999999"/>
    <n v="34887.225999999995"/>
    <n v="109455.660354996"/>
    <n v="24080.245278099119"/>
    <n v="0.44879030911407614"/>
    <s v=""/>
    <x v="0"/>
  </r>
  <r>
    <s v="ES01"/>
    <s v="FR01"/>
    <x v="3"/>
    <s v="France"/>
    <x v="2"/>
    <d v="2025-02-15T00:00:00"/>
    <s v="EUR"/>
    <n v="21156.81"/>
    <n v="21156.81"/>
    <n v="15369.28315829864"/>
    <n v="15369.28315829864"/>
    <n v="0.37656452692631848"/>
    <s v=""/>
    <x v="0"/>
  </r>
  <r>
    <s v="ES01"/>
    <s v="FR01"/>
    <x v="3"/>
    <s v="France"/>
    <x v="2"/>
    <d v="2025-08-29T00:00:00"/>
    <s v="USD"/>
    <n v="140876.1"/>
    <n v="126788.49"/>
    <n v="105666.8054882946"/>
    <n v="95100.124939465139"/>
    <n v="0.33321055130795801"/>
    <s v=""/>
    <x v="0"/>
  </r>
  <r>
    <s v="NL01"/>
    <s v="ES01"/>
    <x v="1"/>
    <s v="Spain"/>
    <x v="0"/>
    <d v="2025-10-18T00:00:00"/>
    <s v="USD"/>
    <n v="8574.8700000000008"/>
    <n v="7717.3830000000007"/>
    <m/>
    <s v=""/>
    <s v=""/>
    <s v="Missing Cost Base, Margin not calculable"/>
    <x v="2"/>
  </r>
  <r>
    <s v="FR01"/>
    <s v="ES01"/>
    <x v="4"/>
    <s v="Spain"/>
    <x v="0"/>
    <d v="2025-03-31T00:00:00"/>
    <s v="USD"/>
    <n v="168055.1"/>
    <n v="151249.59"/>
    <n v="105906.6084385061"/>
    <n v="95315.947594655489"/>
    <n v="0.58682354649832802"/>
    <s v=""/>
    <x v="0"/>
  </r>
  <r>
    <s v="PL01"/>
    <s v="FR01"/>
    <x v="0"/>
    <s v="France"/>
    <x v="2"/>
    <d v="2025-09-12T00:00:00"/>
    <s v="PLN"/>
    <n v="132469.5"/>
    <n v="29143.29"/>
    <n v="107708.90790758371"/>
    <n v="23695.959739668415"/>
    <n v="0.22988434822550943"/>
    <s v=""/>
    <x v="0"/>
  </r>
  <r>
    <s v="PL01"/>
    <s v="DE01"/>
    <x v="0"/>
    <s v="Germany"/>
    <x v="2"/>
    <d v="2025-01-02T00:00:00"/>
    <s v="PLN"/>
    <n v="178582.43"/>
    <n v="39288.134599999998"/>
    <m/>
    <s v=""/>
    <s v=""/>
    <s v="Missing Cost Base, Margin not calculable"/>
    <x v="2"/>
  </r>
  <r>
    <s v="FR01"/>
    <s v="DE01"/>
    <x v="4"/>
    <s v="Germany"/>
    <x v="1"/>
    <d v="2025-07-23T00:00:00"/>
    <s v="USD"/>
    <n v="198041.26"/>
    <n v="178237.13400000002"/>
    <n v="146611.09467088789"/>
    <n v="131949.98520379909"/>
    <n v="0.35079313366128539"/>
    <s v=""/>
    <x v="0"/>
  </r>
  <r>
    <s v="DE01"/>
    <s v="FR01"/>
    <x v="2"/>
    <s v="France"/>
    <x v="2"/>
    <d v="2025-10-08T00:00:00"/>
    <s v="EUR"/>
    <n v="33624.51"/>
    <n v="33624.51"/>
    <n v="31736.36287177377"/>
    <n v="31736.36287177377"/>
    <n v="5.9494754829185058E-2"/>
    <s v=""/>
    <x v="0"/>
  </r>
  <r>
    <s v="PL01"/>
    <s v="DE01"/>
    <x v="0"/>
    <s v="Germany"/>
    <x v="0"/>
    <d v="2025-03-10T00:00:00"/>
    <s v="EUR"/>
    <n v="155601.49"/>
    <n v="155601.49"/>
    <m/>
    <s v=""/>
    <s v=""/>
    <s v="Missing Cost Base, Margin not calculable"/>
    <x v="2"/>
  </r>
  <r>
    <s v="PL01"/>
    <s v="DE01"/>
    <x v="0"/>
    <s v="Germany"/>
    <x v="1"/>
    <d v="2025-07-13T00:00:00"/>
    <s v="EUR"/>
    <n v="178748.7"/>
    <n v="178748.7"/>
    <n v="161020.62956901221"/>
    <n v="161020.62956901221"/>
    <n v="0.11009813139123077"/>
    <s v=""/>
    <x v="0"/>
  </r>
  <r>
    <s v="ES01"/>
    <s v="FR01"/>
    <x v="3"/>
    <s v="France"/>
    <x v="1"/>
    <d v="2025-10-14T00:00:00"/>
    <s v="EUR"/>
    <n v="70020.66"/>
    <n v="70020.66"/>
    <n v="62569.989058085288"/>
    <n v="62569.989058085288"/>
    <n v="0.11907738924163901"/>
    <s v=""/>
    <x v="0"/>
  </r>
  <r>
    <s v="NL01"/>
    <s v="PL01"/>
    <x v="1"/>
    <s v="Poland"/>
    <x v="1"/>
    <d v="2025-05-13T00:00:00"/>
    <s v="EUR"/>
    <n v="186712.92"/>
    <n v="186712.92"/>
    <n v="126920.92701198001"/>
    <n v="126920.92701198001"/>
    <n v="0.4710964093602647"/>
    <s v=""/>
    <x v="0"/>
  </r>
  <r>
    <s v="NL01"/>
    <s v="PL01"/>
    <x v="1"/>
    <s v="Poland"/>
    <x v="0"/>
    <d v="2025-10-21T00:00:00"/>
    <s v="USD"/>
    <n v="172012.25"/>
    <n v="154811.02499999999"/>
    <m/>
    <s v=""/>
    <s v=""/>
    <s v="Missing Cost Base, Margin not calculable"/>
    <x v="2"/>
  </r>
  <r>
    <s v="ES01"/>
    <s v="FR01"/>
    <x v="3"/>
    <s v="France"/>
    <x v="1"/>
    <d v="2025-10-21T00:00:00"/>
    <s v="PLN"/>
    <n v="98297.82"/>
    <n v="21625.520400000001"/>
    <m/>
    <s v=""/>
    <s v=""/>
    <s v="Missing Cost Base, Margin not calculable"/>
    <x v="2"/>
  </r>
  <r>
    <s v="PL01"/>
    <s v="FR01"/>
    <x v="0"/>
    <s v="France"/>
    <x v="0"/>
    <d v="2025-07-07T00:00:00"/>
    <s v="EUR"/>
    <n v="118770.51"/>
    <n v="118770.51"/>
    <n v="77746.864086093919"/>
    <n v="77746.864086093919"/>
    <n v="0.52765659935142917"/>
    <s v=""/>
    <x v="0"/>
  </r>
  <r>
    <s v="NL01"/>
    <s v="PL01"/>
    <x v="1"/>
    <s v="Poland"/>
    <x v="2"/>
    <d v="2025-12-20T00:00:00"/>
    <s v="PLN"/>
    <n v="23247.53"/>
    <n v="5114.4565999999995"/>
    <n v="21884.585713769829"/>
    <n v="4814.6088570293623"/>
    <n v="6.2278733719533096E-2"/>
    <s v=""/>
    <x v="0"/>
  </r>
  <r>
    <s v="NL01"/>
    <s v="ES01"/>
    <x v="1"/>
    <s v="Spain"/>
    <x v="2"/>
    <d v="2025-09-08T00:00:00"/>
    <s v="PLN"/>
    <n v="37375.550000000003"/>
    <n v="8222.621000000001"/>
    <n v="35250.530983007018"/>
    <n v="7755.116816261544"/>
    <n v="6.0283319363824035E-2"/>
    <s v=""/>
    <x v="0"/>
  </r>
  <r>
    <s v="ES01"/>
    <s v="PL01"/>
    <x v="3"/>
    <s v="Poland"/>
    <x v="1"/>
    <d v="2025-10-24T00:00:00"/>
    <s v="PLN"/>
    <n v="124643.06"/>
    <n v="27421.4732"/>
    <n v="118146.44689585541"/>
    <n v="25992.218317088191"/>
    <n v="5.4987799251138468E-2"/>
    <s v=""/>
    <x v="1"/>
  </r>
  <r>
    <s v="FR01"/>
    <s v="DE01"/>
    <x v="4"/>
    <s v="Germany"/>
    <x v="1"/>
    <d v="2025-11-05T00:00:00"/>
    <s v="USD"/>
    <n v="107159.75"/>
    <n v="96443.775000000009"/>
    <m/>
    <s v=""/>
    <s v=""/>
    <s v="Missing Cost Base, Margin not calculable"/>
    <x v="2"/>
  </r>
  <r>
    <s v="NL01"/>
    <s v="FR01"/>
    <x v="1"/>
    <s v="France"/>
    <x v="2"/>
    <d v="2025-01-19T00:00:00"/>
    <s v="EUR"/>
    <n v="174860.17"/>
    <n v="174860.17"/>
    <n v="161971.22877710339"/>
    <n v="161971.22877710339"/>
    <n v="7.9575498193162036E-2"/>
    <s v=""/>
    <x v="0"/>
  </r>
  <r>
    <s v="PL01"/>
    <s v="NL01"/>
    <x v="0"/>
    <s v="Netherlands"/>
    <x v="2"/>
    <d v="2025-09-15T00:00:00"/>
    <s v="USD"/>
    <n v="31248.2"/>
    <n v="28123.38"/>
    <n v="24921.30042568074"/>
    <n v="22429.170383112665"/>
    <n v="0.25387517770940876"/>
    <s v=""/>
    <x v="0"/>
  </r>
  <r>
    <s v="PL01"/>
    <s v="ES01"/>
    <x v="0"/>
    <s v="Spain"/>
    <x v="1"/>
    <d v="2025-06-29T00:00:00"/>
    <s v="EUR"/>
    <n v="53410.94"/>
    <n v="53410.94"/>
    <n v="36673.783095480358"/>
    <n v="36673.783095480358"/>
    <n v="0.45637933945740972"/>
    <s v=""/>
    <x v="0"/>
  </r>
  <r>
    <s v="DE01"/>
    <s v="NL01"/>
    <x v="2"/>
    <s v="Netherlands"/>
    <x v="1"/>
    <d v="2025-03-19T00:00:00"/>
    <s v="USD"/>
    <n v="125073.85"/>
    <n v="112566.46500000001"/>
    <n v="76624.166771525095"/>
    <n v="68961.75009437259"/>
    <n v="0.63230290481252804"/>
    <s v=""/>
    <x v="0"/>
  </r>
  <r>
    <s v="ES01"/>
    <s v="FR01"/>
    <x v="3"/>
    <s v="France"/>
    <x v="1"/>
    <d v="2025-02-24T00:00:00"/>
    <s v="PLN"/>
    <n v="48172.36"/>
    <n v="10597.9192"/>
    <m/>
    <s v=""/>
    <s v=""/>
    <s v="Missing Cost Base, Margin not calculable"/>
    <x v="2"/>
  </r>
  <r>
    <s v="NL01"/>
    <s v="FR01"/>
    <x v="1"/>
    <s v="France"/>
    <x v="2"/>
    <d v="2025-11-27T00:00:00"/>
    <s v="EUR"/>
    <n v="136539.98000000001"/>
    <n v="136539.98000000001"/>
    <n v="91846.209298562855"/>
    <n v="91846.209298562855"/>
    <n v="0.48661530010620146"/>
    <s v=""/>
    <x v="0"/>
  </r>
  <r>
    <s v="PL01"/>
    <s v="DE01"/>
    <x v="0"/>
    <s v="Germany"/>
    <x v="2"/>
    <d v="2025-05-27T00:00:00"/>
    <s v="USD"/>
    <n v="64381.01"/>
    <n v="57942.909"/>
    <n v="54538.320896414407"/>
    <n v="49084.48880677297"/>
    <n v="0.18047290312219147"/>
    <s v=""/>
    <x v="0"/>
  </r>
  <r>
    <s v="FR01"/>
    <s v="NL01"/>
    <x v="4"/>
    <s v="Netherlands"/>
    <x v="2"/>
    <d v="2025-09-15T00:00:00"/>
    <s v="USD"/>
    <n v="187316.15"/>
    <n v="168584.535"/>
    <n v="134946.82840927609"/>
    <n v="121452.14556834848"/>
    <n v="0.38807374880938"/>
    <s v=""/>
    <x v="0"/>
  </r>
  <r>
    <s v="PL01"/>
    <s v="FR01"/>
    <x v="0"/>
    <s v="France"/>
    <x v="0"/>
    <d v="2025-12-21T00:00:00"/>
    <s v="PLN"/>
    <n v="122186.08"/>
    <n v="26880.937600000001"/>
    <n v="85947.985767789884"/>
    <n v="18908.556868913776"/>
    <n v="0.42162819650150313"/>
    <s v=""/>
    <x v="0"/>
  </r>
  <r>
    <s v="NL01"/>
    <s v="FR01"/>
    <x v="1"/>
    <s v="France"/>
    <x v="2"/>
    <d v="2025-03-01T00:00:00"/>
    <s v="USD"/>
    <n v="15947.5"/>
    <n v="14352.75"/>
    <n v="11243.439867963119"/>
    <n v="10119.095881166808"/>
    <n v="0.41838264688376686"/>
    <s v=""/>
    <x v="0"/>
  </r>
  <r>
    <s v="FR01"/>
    <s v="PL01"/>
    <x v="4"/>
    <s v="Poland"/>
    <x v="1"/>
    <d v="2025-01-08T00:00:00"/>
    <s v="EUR"/>
    <n v="145589.41"/>
    <n v="145589.41"/>
    <n v="124068.5681747115"/>
    <n v="124068.5681747115"/>
    <n v="0.17345925839156276"/>
    <s v=""/>
    <x v="0"/>
  </r>
  <r>
    <s v="ES01"/>
    <s v="DE01"/>
    <x v="3"/>
    <s v="Germany"/>
    <x v="0"/>
    <d v="2025-02-22T00:00:00"/>
    <s v="USD"/>
    <n v="180553.23"/>
    <n v="162497.90700000001"/>
    <n v="158149.78925723341"/>
    <n v="142334.81033151006"/>
    <n v="0.14165963070824597"/>
    <s v=""/>
    <x v="0"/>
  </r>
  <r>
    <s v="DE01"/>
    <s v="NL01"/>
    <x v="2"/>
    <s v="Netherlands"/>
    <x v="0"/>
    <d v="2025-01-18T00:00:00"/>
    <s v="PLN"/>
    <n v="107941.28"/>
    <n v="23747.081600000001"/>
    <n v="72948.446557962277"/>
    <n v="16048.658242751701"/>
    <n v="0.47969264724826804"/>
    <s v=""/>
    <x v="0"/>
  </r>
  <r>
    <s v="DE01"/>
    <s v="ES01"/>
    <x v="2"/>
    <s v="Spain"/>
    <x v="1"/>
    <d v="2025-09-19T00:00:00"/>
    <s v="EUR"/>
    <n v="55946.52"/>
    <n v="55946.52"/>
    <n v="47364.143078717163"/>
    <n v="47364.143078717163"/>
    <n v="0.18119987744778351"/>
    <s v=""/>
    <x v="0"/>
  </r>
  <r>
    <s v="DE01"/>
    <s v="PL01"/>
    <x v="2"/>
    <s v="Poland"/>
    <x v="0"/>
    <d v="2025-01-30T00:00:00"/>
    <s v="PLN"/>
    <n v="195654.98"/>
    <n v="43044.095600000001"/>
    <n v="133064.77841533159"/>
    <n v="29274.251251372949"/>
    <n v="0.47037392110861426"/>
    <s v=""/>
    <x v="0"/>
  </r>
  <r>
    <s v="FR01"/>
    <s v="NL01"/>
    <x v="4"/>
    <s v="Netherlands"/>
    <x v="0"/>
    <d v="2025-04-15T00:00:00"/>
    <s v="USD"/>
    <n v="157203.26"/>
    <n v="141482.93400000001"/>
    <n v="128061.5365331575"/>
    <n v="115255.38287984175"/>
    <n v="0.22756031401588855"/>
    <s v=""/>
    <x v="0"/>
  </r>
  <r>
    <s v="PL01"/>
    <s v="FR01"/>
    <x v="0"/>
    <s v="France"/>
    <x v="0"/>
    <d v="2025-01-11T00:00:00"/>
    <s v="EUR"/>
    <n v="156104.85"/>
    <n v="156104.85"/>
    <m/>
    <s v=""/>
    <s v=""/>
    <s v="Missing Cost Base, Margin not calculable"/>
    <x v="2"/>
  </r>
  <r>
    <s v="ES01"/>
    <s v="FR01"/>
    <x v="3"/>
    <s v="France"/>
    <x v="0"/>
    <d v="2025-12-14T00:00:00"/>
    <s v="PLN"/>
    <n v="39839.94"/>
    <n v="8764.7867999999999"/>
    <m/>
    <s v=""/>
    <s v=""/>
    <s v="Missing Cost Base, Margin not calculable"/>
    <x v="2"/>
  </r>
  <r>
    <s v="NL01"/>
    <s v="DE01"/>
    <x v="1"/>
    <s v="Germany"/>
    <x v="1"/>
    <d v="2025-04-17T00:00:00"/>
    <s v="USD"/>
    <n v="94185.24"/>
    <n v="84766.716"/>
    <n v="67907.048254046123"/>
    <n v="61116.343428641514"/>
    <n v="0.38697296409711246"/>
    <s v=""/>
    <x v="0"/>
  </r>
  <r>
    <s v="ES01"/>
    <s v="NL01"/>
    <x v="3"/>
    <s v="Netherlands"/>
    <x v="2"/>
    <d v="2025-03-19T00:00:00"/>
    <s v="EUR"/>
    <n v="66379.31"/>
    <n v="66379.31"/>
    <n v="58052.695764326098"/>
    <n v="58052.695764326098"/>
    <n v="0.14343199960045058"/>
    <s v=""/>
    <x v="1"/>
  </r>
  <r>
    <s v="DE01"/>
    <s v="FR01"/>
    <x v="2"/>
    <s v="France"/>
    <x v="0"/>
    <d v="2025-07-25T00:00:00"/>
    <s v="USD"/>
    <n v="89431.39"/>
    <n v="80488.251000000004"/>
    <n v="69456.460920551384"/>
    <n v="62510.814828496244"/>
    <n v="0.28758921509544211"/>
    <s v=""/>
    <x v="0"/>
  </r>
  <r>
    <s v="DE01"/>
    <s v="ES01"/>
    <x v="2"/>
    <s v="Spain"/>
    <x v="0"/>
    <d v="2025-03-11T00:00:00"/>
    <s v="EUR"/>
    <n v="116788.09"/>
    <n v="116788.09"/>
    <m/>
    <s v=""/>
    <s v=""/>
    <s v="Missing Cost Base, Margin not calculable"/>
    <x v="2"/>
  </r>
  <r>
    <s v="ES01"/>
    <s v="DE01"/>
    <x v="3"/>
    <s v="Germany"/>
    <x v="1"/>
    <d v="2025-03-10T00:00:00"/>
    <s v="USD"/>
    <n v="110350.88"/>
    <n v="99315.792000000001"/>
    <n v="66516.917954148827"/>
    <n v="59865.226158733945"/>
    <n v="0.65898967351533966"/>
    <s v=""/>
    <x v="0"/>
  </r>
  <r>
    <s v="FR01"/>
    <s v="NL01"/>
    <x v="4"/>
    <s v="Netherlands"/>
    <x v="2"/>
    <d v="2025-11-04T00:00:00"/>
    <s v="PLN"/>
    <n v="172693.09"/>
    <n v="37992.479800000001"/>
    <n v="139123.73878312751"/>
    <n v="30607.222532288051"/>
    <n v="0.2412913246185969"/>
    <s v=""/>
    <x v="0"/>
  </r>
  <r>
    <s v="FR01"/>
    <s v="ES01"/>
    <x v="4"/>
    <s v="Spain"/>
    <x v="0"/>
    <d v="2025-08-17T00:00:00"/>
    <s v="EUR"/>
    <n v="179714.14"/>
    <n v="179714.14"/>
    <n v="150818.39136375039"/>
    <n v="150818.39136375039"/>
    <n v="0.19159300384365988"/>
    <s v=""/>
    <x v="0"/>
  </r>
  <r>
    <s v="NL01"/>
    <s v="ES01"/>
    <x v="1"/>
    <s v="Spain"/>
    <x v="0"/>
    <d v="2025-08-31T00:00:00"/>
    <s v="USD"/>
    <n v="193172.84"/>
    <n v="173855.55600000001"/>
    <m/>
    <s v=""/>
    <s v=""/>
    <s v="Missing Cost Base, Margin not calculable"/>
    <x v="2"/>
  </r>
  <r>
    <s v="FR01"/>
    <s v="DE01"/>
    <x v="4"/>
    <s v="Germany"/>
    <x v="0"/>
    <d v="2025-09-08T00:00:00"/>
    <s v="USD"/>
    <n v="159942.78"/>
    <n v="143948.50200000001"/>
    <n v="139509.60473266779"/>
    <n v="125558.64425940102"/>
    <n v="0.14646429044428041"/>
    <s v=""/>
    <x v="0"/>
  </r>
  <r>
    <s v="DE01"/>
    <s v="NL01"/>
    <x v="2"/>
    <s v="Netherlands"/>
    <x v="1"/>
    <d v="2025-06-16T00:00:00"/>
    <s v="PLN"/>
    <n v="33022.800000000003"/>
    <n v="7265.0160000000005"/>
    <n v="29621.172782766938"/>
    <n v="6516.6580122087262"/>
    <n v="0.11483769539375127"/>
    <s v=""/>
    <x v="0"/>
  </r>
  <r>
    <s v="FR01"/>
    <s v="NL01"/>
    <x v="4"/>
    <s v="Netherlands"/>
    <x v="1"/>
    <d v="2025-08-30T00:00:00"/>
    <s v="USD"/>
    <n v="78142.75"/>
    <n v="70328.475000000006"/>
    <n v="68570.223060579956"/>
    <n v="61713.20075452196"/>
    <n v="0.13960180545078554"/>
    <s v=""/>
    <x v="0"/>
  </r>
  <r>
    <s v="PL01"/>
    <s v="NL01"/>
    <x v="0"/>
    <s v="Netherlands"/>
    <x v="0"/>
    <d v="2025-07-22T00:00:00"/>
    <s v="EUR"/>
    <n v="11083.34"/>
    <n v="11083.34"/>
    <n v="6992.1726868606274"/>
    <n v="6992.1726868606274"/>
    <n v="0.58510673239339583"/>
    <s v=""/>
    <x v="0"/>
  </r>
  <r>
    <s v="NL01"/>
    <s v="FR01"/>
    <x v="1"/>
    <s v="France"/>
    <x v="2"/>
    <d v="2025-08-08T00:00:00"/>
    <s v="USD"/>
    <n v="178235.35"/>
    <n v="160411.815"/>
    <n v="134771.06053646989"/>
    <n v="121293.9544828229"/>
    <n v="0.32250461850278611"/>
    <s v=""/>
    <x v="0"/>
  </r>
  <r>
    <s v="NL01"/>
    <s v="DE01"/>
    <x v="1"/>
    <s v="Germany"/>
    <x v="2"/>
    <d v="2025-06-24T00:00:00"/>
    <s v="USD"/>
    <n v="138078.47"/>
    <n v="124270.62300000001"/>
    <n v="128201.5323125991"/>
    <n v="115381.3790813392"/>
    <n v="7.7042274840503105E-2"/>
    <s v=""/>
    <x v="0"/>
  </r>
  <r>
    <s v="NL01"/>
    <s v="ES01"/>
    <x v="1"/>
    <s v="Spain"/>
    <x v="0"/>
    <d v="2025-04-16T00:00:00"/>
    <s v="EUR"/>
    <n v="155475.85999999999"/>
    <n v="155475.85999999999"/>
    <n v="134054.25995976079"/>
    <n v="134054.25995976079"/>
    <n v="0.15979798065849857"/>
    <s v=""/>
    <x v="0"/>
  </r>
  <r>
    <s v="FR01"/>
    <s v="ES01"/>
    <x v="4"/>
    <s v="Spain"/>
    <x v="2"/>
    <d v="2025-05-07T00:00:00"/>
    <s v="PLN"/>
    <n v="87806.58"/>
    <n v="19317.4476"/>
    <m/>
    <s v=""/>
    <s v=""/>
    <s v="Missing Cost Base, Margin not calculable"/>
    <x v="2"/>
  </r>
  <r>
    <s v="ES01"/>
    <s v="NL01"/>
    <x v="3"/>
    <s v="Netherlands"/>
    <x v="1"/>
    <d v="2025-02-16T00:00:00"/>
    <s v="PLN"/>
    <n v="38138.44"/>
    <n v="8390.4567999999999"/>
    <n v="25338.55805263478"/>
    <n v="5574.4827715796519"/>
    <n v="0.50515431544196521"/>
    <s v=""/>
    <x v="0"/>
  </r>
  <r>
    <s v="NL01"/>
    <s v="ES01"/>
    <x v="1"/>
    <s v="Spain"/>
    <x v="1"/>
    <d v="2025-12-17T00:00:00"/>
    <s v="USD"/>
    <n v="36494.6"/>
    <n v="32845.14"/>
    <n v="32119.49181184901"/>
    <n v="28907.542630664109"/>
    <n v="0.1362134934693143"/>
    <s v=""/>
    <x v="0"/>
  </r>
  <r>
    <s v="DE01"/>
    <s v="FR01"/>
    <x v="2"/>
    <s v="France"/>
    <x v="2"/>
    <d v="2025-05-16T00:00:00"/>
    <s v="PLN"/>
    <n v="62904.68"/>
    <n v="13839.0296"/>
    <n v="40489.412213652489"/>
    <n v="8907.6706870035468"/>
    <n v="0.55360813014690757"/>
    <s v=""/>
    <x v="0"/>
  </r>
  <r>
    <s v="PL01"/>
    <s v="DE01"/>
    <x v="0"/>
    <s v="Germany"/>
    <x v="2"/>
    <d v="2025-03-04T00:00:00"/>
    <s v="USD"/>
    <n v="5230.5"/>
    <n v="4707.45"/>
    <n v="4826.3838778584995"/>
    <n v="4343.7454900726498"/>
    <n v="8.3730621593409021E-2"/>
    <s v=""/>
    <x v="1"/>
  </r>
  <r>
    <s v="DE01"/>
    <s v="NL01"/>
    <x v="2"/>
    <s v="Netherlands"/>
    <x v="2"/>
    <d v="2025-12-10T00:00:00"/>
    <s v="EUR"/>
    <n v="100884.96"/>
    <n v="100884.96"/>
    <n v="62745.446413775258"/>
    <n v="62745.446413775258"/>
    <n v="0.60784512289088632"/>
    <s v=""/>
    <x v="0"/>
  </r>
  <r>
    <s v="NL01"/>
    <s v="PL01"/>
    <x v="1"/>
    <s v="Poland"/>
    <x v="1"/>
    <d v="2025-05-09T00:00:00"/>
    <s v="EUR"/>
    <n v="119062.86"/>
    <n v="119062.86"/>
    <n v="80814.071424459224"/>
    <n v="80814.071424459224"/>
    <n v="0.47329367152716401"/>
    <s v=""/>
    <x v="0"/>
  </r>
  <r>
    <s v="NL01"/>
    <s v="ES01"/>
    <x v="1"/>
    <s v="Spain"/>
    <x v="1"/>
    <d v="2025-08-19T00:00:00"/>
    <s v="USD"/>
    <n v="191698.4"/>
    <n v="172528.56"/>
    <n v="148553.5722418667"/>
    <n v="133698.21501768002"/>
    <n v="0.29043278533812228"/>
    <s v=""/>
    <x v="0"/>
  </r>
  <r>
    <s v="NL01"/>
    <s v="FR01"/>
    <x v="1"/>
    <s v="France"/>
    <x v="1"/>
    <d v="2025-01-10T00:00:00"/>
    <s v="PLN"/>
    <n v="89607.26"/>
    <n v="19713.5972"/>
    <n v="65192.178171424508"/>
    <n v="14342.279197713391"/>
    <n v="0.37450937387573419"/>
    <s v=""/>
    <x v="0"/>
  </r>
  <r>
    <s v="DE01"/>
    <s v="FR01"/>
    <x v="2"/>
    <s v="France"/>
    <x v="1"/>
    <d v="2025-08-27T00:00:00"/>
    <s v="USD"/>
    <n v="52876.14"/>
    <n v="47588.525999999998"/>
    <n v="42022.911489494407"/>
    <n v="37820.620340544971"/>
    <n v="0.25826931371042333"/>
    <s v=""/>
    <x v="0"/>
  </r>
  <r>
    <s v="FR01"/>
    <s v="PL01"/>
    <x v="4"/>
    <s v="Poland"/>
    <x v="2"/>
    <d v="2025-10-07T00:00:00"/>
    <s v="PLN"/>
    <n v="11063.93"/>
    <n v="2434.0646000000002"/>
    <n v="10436.862809346499"/>
    <n v="2296.1098180562299"/>
    <n v="6.0081961611294275E-2"/>
    <s v=""/>
    <x v="0"/>
  </r>
  <r>
    <s v="FR01"/>
    <s v="ES01"/>
    <x v="4"/>
    <s v="Spain"/>
    <x v="2"/>
    <d v="2025-08-28T00:00:00"/>
    <s v="USD"/>
    <n v="101494.39999999999"/>
    <n v="91344.959999999992"/>
    <n v="65948.771261754722"/>
    <n v="59353.894135579249"/>
    <n v="0.53898849149383676"/>
    <s v=""/>
    <x v="0"/>
  </r>
  <r>
    <s v="NL01"/>
    <s v="PL01"/>
    <x v="1"/>
    <s v="Poland"/>
    <x v="1"/>
    <d v="2025-02-25T00:00:00"/>
    <s v="USD"/>
    <n v="107885.66"/>
    <n v="97097.094000000012"/>
    <m/>
    <s v=""/>
    <s v=""/>
    <s v="Missing Cost Base, Margin not calculable"/>
    <x v="2"/>
  </r>
  <r>
    <s v="ES01"/>
    <s v="FR01"/>
    <x v="3"/>
    <s v="France"/>
    <x v="0"/>
    <d v="2025-04-28T00:00:00"/>
    <s v="EUR"/>
    <n v="193356.95"/>
    <n v="193356.95"/>
    <n v="168604.24021210821"/>
    <n v="168604.24021210821"/>
    <n v="0.1468095331217785"/>
    <s v=""/>
    <x v="0"/>
  </r>
  <r>
    <s v="PL01"/>
    <s v="FR01"/>
    <x v="0"/>
    <s v="France"/>
    <x v="1"/>
    <d v="2025-03-29T00:00:00"/>
    <s v="EUR"/>
    <n v="153688.60999999999"/>
    <n v="153688.60999999999"/>
    <n v="129317.9555231651"/>
    <n v="129317.9555231651"/>
    <n v="0.18845530288691656"/>
    <s v=""/>
    <x v="0"/>
  </r>
  <r>
    <s v="FR01"/>
    <s v="NL01"/>
    <x v="4"/>
    <s v="Netherlands"/>
    <x v="2"/>
    <d v="2025-01-11T00:00:00"/>
    <s v="USD"/>
    <n v="118983.25"/>
    <n v="107084.925"/>
    <n v="103074.4443096422"/>
    <n v="92766.999878677991"/>
    <n v="0.15434287128016644"/>
    <s v=""/>
    <x v="0"/>
  </r>
  <r>
    <s v="PL01"/>
    <s v="ES01"/>
    <x v="0"/>
    <s v="Spain"/>
    <x v="1"/>
    <d v="2025-10-02T00:00:00"/>
    <s v="USD"/>
    <n v="112209.11"/>
    <n v="100988.19900000001"/>
    <n v="101050.79403143471"/>
    <n v="90945.714628291244"/>
    <n v="0.11042284304163096"/>
    <s v=""/>
    <x v="0"/>
  </r>
  <r>
    <s v="FR01"/>
    <s v="NL01"/>
    <x v="4"/>
    <s v="Netherlands"/>
    <x v="1"/>
    <d v="2025-03-10T00:00:00"/>
    <s v="PLN"/>
    <n v="23648.17"/>
    <n v="5202.5973999999997"/>
    <n v="20317.734970319019"/>
    <n v="4469.901693470184"/>
    <n v="0.1639176332670062"/>
    <s v=""/>
    <x v="0"/>
  </r>
  <r>
    <s v="FR01"/>
    <s v="PL01"/>
    <x v="4"/>
    <s v="Poland"/>
    <x v="0"/>
    <d v="2025-10-17T00:00:00"/>
    <s v="USD"/>
    <n v="23349.55"/>
    <n v="21014.595000000001"/>
    <n v="18680.567734918171"/>
    <n v="16812.510961426357"/>
    <n v="0.24993792112401655"/>
    <s v=""/>
    <x v="0"/>
  </r>
  <r>
    <s v="PL01"/>
    <s v="DE01"/>
    <x v="0"/>
    <s v="Germany"/>
    <x v="0"/>
    <d v="2025-12-27T00:00:00"/>
    <s v="EUR"/>
    <n v="146186.20000000001"/>
    <n v="146186.20000000001"/>
    <n v="115486.5579058585"/>
    <n v="115486.5579058585"/>
    <n v="0.2658287046633343"/>
    <s v=""/>
    <x v="0"/>
  </r>
  <r>
    <s v="PL01"/>
    <s v="FR01"/>
    <x v="0"/>
    <s v="France"/>
    <x v="2"/>
    <d v="2025-05-09T00:00:00"/>
    <s v="USD"/>
    <n v="68563.61"/>
    <n v="61707.249000000003"/>
    <n v="59177.094253884112"/>
    <n v="53259.384828495698"/>
    <n v="0.15861738168226816"/>
    <s v=""/>
    <x v="0"/>
  </r>
  <r>
    <s v="ES01"/>
    <s v="FR01"/>
    <x v="3"/>
    <s v="France"/>
    <x v="1"/>
    <d v="2025-11-16T00:00:00"/>
    <s v="USD"/>
    <n v="70709.67"/>
    <n v="63638.703000000001"/>
    <n v="58466.223901931633"/>
    <n v="52619.601511738474"/>
    <n v="0.20941058411100599"/>
    <s v=""/>
    <x v="0"/>
  </r>
  <r>
    <s v="FR01"/>
    <s v="NL01"/>
    <x v="4"/>
    <s v="Netherlands"/>
    <x v="1"/>
    <d v="2025-10-16T00:00:00"/>
    <s v="EUR"/>
    <n v="13330.08"/>
    <n v="13330.08"/>
    <n v="10113.556405593779"/>
    <n v="10113.556405593779"/>
    <n v="0.31804080240529142"/>
    <s v=""/>
    <x v="0"/>
  </r>
  <r>
    <s v="PL01"/>
    <s v="ES01"/>
    <x v="0"/>
    <s v="Spain"/>
    <x v="2"/>
    <d v="2025-04-21T00:00:00"/>
    <s v="EUR"/>
    <n v="170301.59"/>
    <n v="170301.59"/>
    <n v="141294.21242944829"/>
    <n v="141294.21242944829"/>
    <n v="0.20529770520527021"/>
    <s v=""/>
    <x v="0"/>
  </r>
  <r>
    <s v="ES01"/>
    <s v="FR01"/>
    <x v="3"/>
    <s v="France"/>
    <x v="1"/>
    <d v="2025-12-22T00:00:00"/>
    <s v="PLN"/>
    <n v="17351.97"/>
    <n v="3817.4334000000003"/>
    <m/>
    <s v=""/>
    <s v=""/>
    <s v="Missing Cost Base, Margin not calculable"/>
    <x v="2"/>
  </r>
  <r>
    <s v="PL01"/>
    <s v="FR01"/>
    <x v="0"/>
    <s v="France"/>
    <x v="0"/>
    <d v="2025-03-06T00:00:00"/>
    <s v="PLN"/>
    <n v="99855.94"/>
    <n v="21968.306800000002"/>
    <n v="81370.298917130291"/>
    <n v="17901.465761768664"/>
    <n v="0.22717922053716422"/>
    <s v=""/>
    <x v="0"/>
  </r>
  <r>
    <s v="PL01"/>
    <s v="ES01"/>
    <x v="0"/>
    <s v="Spain"/>
    <x v="2"/>
    <d v="2025-09-24T00:00:00"/>
    <s v="EUR"/>
    <n v="84662.51"/>
    <n v="84662.51"/>
    <n v="58488.666436587133"/>
    <n v="58488.666436587133"/>
    <n v="0.44750282675345826"/>
    <s v=""/>
    <x v="0"/>
  </r>
  <r>
    <s v="ES01"/>
    <s v="NL01"/>
    <x v="3"/>
    <s v="Netherlands"/>
    <x v="1"/>
    <d v="2025-11-25T00:00:00"/>
    <s v="PLN"/>
    <n v="7355.37"/>
    <n v="1618.1813999999999"/>
    <n v="5809.6967794050906"/>
    <n v="1278.13329146912"/>
    <n v="0.26605058392620362"/>
    <s v=""/>
    <x v="0"/>
  </r>
  <r>
    <s v="PL01"/>
    <s v="ES01"/>
    <x v="0"/>
    <s v="Spain"/>
    <x v="2"/>
    <d v="2025-08-19T00:00:00"/>
    <s v="EUR"/>
    <n v="190535.55"/>
    <n v="190535.55"/>
    <n v="119604.9634559534"/>
    <n v="119604.9634559534"/>
    <n v="0.59304049342540877"/>
    <s v=""/>
    <x v="0"/>
  </r>
  <r>
    <s v="PL01"/>
    <s v="FR01"/>
    <x v="0"/>
    <s v="France"/>
    <x v="2"/>
    <d v="2025-10-02T00:00:00"/>
    <s v="PLN"/>
    <n v="19005.900000000001"/>
    <n v="4181.2980000000007"/>
    <n v="12630.51747078568"/>
    <n v="2778.7138435728498"/>
    <n v="0.50476020036079661"/>
    <s v=""/>
    <x v="0"/>
  </r>
  <r>
    <s v="DE01"/>
    <s v="PL01"/>
    <x v="2"/>
    <s v="Poland"/>
    <x v="2"/>
    <d v="2025-01-19T00:00:00"/>
    <s v="PLN"/>
    <n v="49265.23"/>
    <n v="10838.350600000002"/>
    <m/>
    <s v=""/>
    <s v=""/>
    <s v="Missing Cost Base, Margin not calculable"/>
    <x v="2"/>
  </r>
  <r>
    <s v="ES01"/>
    <s v="PL01"/>
    <x v="3"/>
    <s v="Poland"/>
    <x v="1"/>
    <d v="2025-08-08T00:00:00"/>
    <s v="USD"/>
    <n v="192895.58"/>
    <n v="173606.022"/>
    <n v="157305.67045604231"/>
    <n v="141575.10341043808"/>
    <n v="0.22624683166715831"/>
    <s v=""/>
    <x v="0"/>
  </r>
  <r>
    <s v="FR01"/>
    <s v="NL01"/>
    <x v="4"/>
    <s v="Netherlands"/>
    <x v="2"/>
    <d v="2025-01-22T00:00:00"/>
    <s v="USD"/>
    <n v="109262.42"/>
    <n v="98336.178"/>
    <m/>
    <s v=""/>
    <s v=""/>
    <s v="Missing Cost Base, Margin not calculable"/>
    <x v="2"/>
  </r>
  <r>
    <s v="PL01"/>
    <s v="NL01"/>
    <x v="0"/>
    <s v="Netherlands"/>
    <x v="0"/>
    <d v="2025-01-23T00:00:00"/>
    <s v="EUR"/>
    <n v="165402.74"/>
    <n v="165402.74"/>
    <m/>
    <s v=""/>
    <s v=""/>
    <s v="Missing Cost Base, Margin not calculable"/>
    <x v="2"/>
  </r>
  <r>
    <s v="ES01"/>
    <s v="DE01"/>
    <x v="3"/>
    <s v="Germany"/>
    <x v="1"/>
    <d v="2025-01-07T00:00:00"/>
    <s v="EUR"/>
    <n v="187814.3"/>
    <n v="187814.3"/>
    <n v="155871.99925460611"/>
    <n v="155871.99925460611"/>
    <n v="0.20492648389797286"/>
    <s v=""/>
    <x v="0"/>
  </r>
  <r>
    <s v="FR01"/>
    <s v="ES01"/>
    <x v="4"/>
    <s v="Spain"/>
    <x v="0"/>
    <d v="2025-03-26T00:00:00"/>
    <s v="EUR"/>
    <n v="90428.12"/>
    <n v="90428.12"/>
    <n v="81263.989710359077"/>
    <n v="81263.989710359077"/>
    <n v="0.11276987903625812"/>
    <s v=""/>
    <x v="0"/>
  </r>
  <r>
    <s v="ES01"/>
    <s v="DE01"/>
    <x v="3"/>
    <s v="Germany"/>
    <x v="1"/>
    <d v="2025-01-18T00:00:00"/>
    <s v="EUR"/>
    <n v="64531.22"/>
    <n v="64531.22"/>
    <n v="54435.061984227737"/>
    <n v="54435.061984227737"/>
    <n v="0.18547159951241665"/>
    <s v=""/>
    <x v="0"/>
  </r>
  <r>
    <s v="DE01"/>
    <s v="PL01"/>
    <x v="2"/>
    <s v="Poland"/>
    <x v="1"/>
    <d v="2025-12-19T00:00:00"/>
    <s v="EUR"/>
    <n v="91906.23"/>
    <n v="91906.23"/>
    <n v="77070.346611647008"/>
    <n v="77070.346611647008"/>
    <n v="0.19249794558612979"/>
    <s v=""/>
    <x v="0"/>
  </r>
  <r>
    <s v="FR01"/>
    <s v="NL01"/>
    <x v="4"/>
    <s v="Netherlands"/>
    <x v="1"/>
    <d v="2025-04-14T00:00:00"/>
    <s v="EUR"/>
    <n v="32724.68"/>
    <n v="32724.68"/>
    <n v="26664.187567472502"/>
    <n v="26664.187567472502"/>
    <n v="0.22728959647436101"/>
    <s v=""/>
    <x v="0"/>
  </r>
  <r>
    <s v="DE01"/>
    <s v="ES01"/>
    <x v="2"/>
    <s v="Spain"/>
    <x v="2"/>
    <d v="2025-12-30T00:00:00"/>
    <s v="PLN"/>
    <n v="67917.31"/>
    <n v="14941.808199999999"/>
    <n v="63519.177645467353"/>
    <n v="13974.219082002817"/>
    <n v="6.9241015352573473E-2"/>
    <s v=""/>
    <x v="0"/>
  </r>
  <r>
    <s v="ES01"/>
    <s v="FR01"/>
    <x v="3"/>
    <s v="France"/>
    <x v="0"/>
    <d v="2025-08-16T00:00:00"/>
    <s v="PLN"/>
    <n v="137135.93"/>
    <n v="30169.904599999998"/>
    <m/>
    <s v=""/>
    <s v=""/>
    <s v="Missing Cost Base, Margin not calculable"/>
    <x v="2"/>
  </r>
  <r>
    <s v="NL01"/>
    <s v="ES01"/>
    <x v="1"/>
    <s v="Spain"/>
    <x v="1"/>
    <d v="2025-03-05T00:00:00"/>
    <s v="PLN"/>
    <n v="99423.99"/>
    <n v="21873.2778"/>
    <n v="65974.110784875811"/>
    <n v="14514.304372672679"/>
    <n v="0.50701523396344705"/>
    <s v=""/>
    <x v="0"/>
  </r>
  <r>
    <s v="DE01"/>
    <s v="PL01"/>
    <x v="2"/>
    <s v="Poland"/>
    <x v="1"/>
    <d v="2025-03-24T00:00:00"/>
    <s v="EUR"/>
    <n v="81287.33"/>
    <n v="81287.33"/>
    <n v="73614.65148279928"/>
    <n v="73614.65148279928"/>
    <n v="0.10422760092796897"/>
    <s v=""/>
    <x v="0"/>
  </r>
  <r>
    <s v="NL01"/>
    <s v="ES01"/>
    <x v="1"/>
    <s v="Spain"/>
    <x v="2"/>
    <d v="2025-05-23T00:00:00"/>
    <s v="PLN"/>
    <n v="180348.09"/>
    <n v="39676.5798"/>
    <m/>
    <s v=""/>
    <s v=""/>
    <s v="Missing Cost Base, Margin not calculable"/>
    <x v="2"/>
  </r>
  <r>
    <s v="DE01"/>
    <s v="NL01"/>
    <x v="2"/>
    <s v="Netherlands"/>
    <x v="0"/>
    <d v="2025-09-25T00:00:00"/>
    <s v="USD"/>
    <n v="20432"/>
    <n v="18388.8"/>
    <n v="14880.202161218989"/>
    <n v="13392.181945097091"/>
    <n v="0.37309962449637885"/>
    <s v=""/>
    <x v="0"/>
  </r>
  <r>
    <s v="FR01"/>
    <s v="NL01"/>
    <x v="4"/>
    <s v="Netherlands"/>
    <x v="2"/>
    <d v="2025-08-16T00:00:00"/>
    <s v="PLN"/>
    <n v="88719.49"/>
    <n v="19518.287800000002"/>
    <n v="84056.864331933975"/>
    <n v="18492.510153025476"/>
    <n v="5.5469897730822823E-2"/>
    <s v=""/>
    <x v="0"/>
  </r>
  <r>
    <s v="ES01"/>
    <s v="PL01"/>
    <x v="3"/>
    <s v="Poland"/>
    <x v="2"/>
    <d v="2025-03-26T00:00:00"/>
    <s v="USD"/>
    <n v="77209.61"/>
    <n v="69488.649000000005"/>
    <n v="73103.639335567656"/>
    <n v="65793.275402010899"/>
    <n v="5.6166433049724122E-2"/>
    <s v=""/>
    <x v="0"/>
  </r>
  <r>
    <s v="PL01"/>
    <s v="FR01"/>
    <x v="0"/>
    <s v="France"/>
    <x v="0"/>
    <d v="2025-02-20T00:00:00"/>
    <s v="PLN"/>
    <n v="23772.29"/>
    <n v="5229.9038"/>
    <n v="16971.335560415821"/>
    <n v="3733.6938232914804"/>
    <n v="0.40073183488557151"/>
    <s v=""/>
    <x v="0"/>
  </r>
  <r>
    <s v="PL01"/>
    <s v="FR01"/>
    <x v="0"/>
    <s v="France"/>
    <x v="2"/>
    <d v="2025-05-28T00:00:00"/>
    <s v="EUR"/>
    <n v="165118.76999999999"/>
    <n v="165118.76999999999"/>
    <n v="155372.53879277679"/>
    <n v="155372.53879277679"/>
    <n v="6.2728145417137893E-2"/>
    <s v=""/>
    <x v="0"/>
  </r>
  <r>
    <s v="FR01"/>
    <s v="PL01"/>
    <x v="4"/>
    <s v="Poland"/>
    <x v="1"/>
    <d v="2025-10-28T00:00:00"/>
    <s v="PLN"/>
    <n v="118764.23"/>
    <n v="26128.1306"/>
    <n v="77302.600728041973"/>
    <n v="17006.572160169235"/>
    <n v="0.53635490761590343"/>
    <s v=""/>
    <x v="0"/>
  </r>
  <r>
    <s v="ES01"/>
    <s v="FR01"/>
    <x v="3"/>
    <s v="France"/>
    <x v="2"/>
    <d v="2025-08-09T00:00:00"/>
    <s v="USD"/>
    <n v="157280.13"/>
    <n v="141552.117"/>
    <n v="121848.2294644299"/>
    <n v="109663.40651798691"/>
    <n v="0.29078715949593203"/>
    <s v=""/>
    <x v="0"/>
  </r>
  <r>
    <s v="NL01"/>
    <s v="FR01"/>
    <x v="1"/>
    <s v="France"/>
    <x v="1"/>
    <d v="2025-09-24T00:00:00"/>
    <s v="USD"/>
    <n v="157556.17000000001"/>
    <n v="141800.55300000001"/>
    <n v="116471.9974414374"/>
    <n v="104824.79769729366"/>
    <n v="0.35273862783386978"/>
    <s v=""/>
    <x v="0"/>
  </r>
  <r>
    <s v="PL01"/>
    <s v="FR01"/>
    <x v="0"/>
    <s v="France"/>
    <x v="2"/>
    <d v="2025-06-08T00:00:00"/>
    <s v="EUR"/>
    <n v="39574.6"/>
    <n v="39574.6"/>
    <n v="28483.59355059508"/>
    <n v="28483.59355059508"/>
    <n v="0.38938227473665116"/>
    <s v=""/>
    <x v="0"/>
  </r>
  <r>
    <s v="DE01"/>
    <s v="FR01"/>
    <x v="2"/>
    <s v="France"/>
    <x v="2"/>
    <d v="2025-03-11T00:00:00"/>
    <s v="PLN"/>
    <n v="61693.93"/>
    <n v="13572.6646"/>
    <n v="55758.709397876031"/>
    <n v="12266.916067532728"/>
    <n v="0.10644472704294786"/>
    <s v=""/>
    <x v="1"/>
  </r>
  <r>
    <s v="DE01"/>
    <s v="PL01"/>
    <x v="2"/>
    <s v="Poland"/>
    <x v="1"/>
    <d v="2025-02-25T00:00:00"/>
    <s v="PLN"/>
    <n v="52632"/>
    <n v="11579.04"/>
    <n v="42908.527672836681"/>
    <n v="9439.8760880240698"/>
    <n v="0.22660932114244473"/>
    <s v=""/>
    <x v="0"/>
  </r>
  <r>
    <s v="FR01"/>
    <s v="DE01"/>
    <x v="4"/>
    <s v="Germany"/>
    <x v="1"/>
    <d v="2025-04-10T00:00:00"/>
    <s v="USD"/>
    <n v="103120.23"/>
    <n v="92808.206999999995"/>
    <m/>
    <s v=""/>
    <s v=""/>
    <s v="Missing Cost Base, Margin not calculable"/>
    <x v="2"/>
  </r>
  <r>
    <s v="PL01"/>
    <s v="ES01"/>
    <x v="0"/>
    <s v="Spain"/>
    <x v="1"/>
    <d v="2025-01-12T00:00:00"/>
    <s v="PLN"/>
    <n v="86106.31"/>
    <n v="18943.388200000001"/>
    <n v="78437.568690958491"/>
    <n v="17256.265112010868"/>
    <n v="9.7768727881611325E-2"/>
    <s v=""/>
    <x v="0"/>
  </r>
  <r>
    <s v="NL01"/>
    <s v="ES01"/>
    <x v="1"/>
    <s v="Spain"/>
    <x v="2"/>
    <d v="2025-12-05T00:00:00"/>
    <s v="USD"/>
    <n v="116557.01"/>
    <n v="104901.30899999999"/>
    <n v="108785.1384436474"/>
    <n v="97906.624599282659"/>
    <n v="7.1442401669402286E-2"/>
    <s v=""/>
    <x v="0"/>
  </r>
  <r>
    <s v="FR01"/>
    <s v="DE01"/>
    <x v="4"/>
    <s v="Germany"/>
    <x v="1"/>
    <d v="2025-10-29T00:00:00"/>
    <s v="USD"/>
    <n v="31542.07"/>
    <n v="28387.863000000001"/>
    <n v="29145.54075910844"/>
    <n v="26230.986683197596"/>
    <n v="8.222627470525172E-2"/>
    <s v=""/>
    <x v="0"/>
  </r>
  <r>
    <s v="FR01"/>
    <s v="DE01"/>
    <x v="4"/>
    <s v="Germany"/>
    <x v="1"/>
    <d v="2025-01-09T00:00:00"/>
    <s v="USD"/>
    <n v="112778.56"/>
    <n v="101500.704"/>
    <n v="94769.94026442802"/>
    <n v="85292.946237985219"/>
    <n v="0.19002459730716456"/>
    <s v=""/>
    <x v="0"/>
  </r>
  <r>
    <s v="DE01"/>
    <s v="NL01"/>
    <x v="2"/>
    <s v="Netherlands"/>
    <x v="0"/>
    <d v="2025-09-21T00:00:00"/>
    <s v="EUR"/>
    <n v="133816.68"/>
    <n v="133816.68"/>
    <n v="85205.601007406221"/>
    <n v="85205.601007406221"/>
    <n v="0.5705150649470615"/>
    <s v=""/>
    <x v="0"/>
  </r>
  <r>
    <s v="FR01"/>
    <s v="DE01"/>
    <x v="4"/>
    <s v="Germany"/>
    <x v="1"/>
    <d v="2025-12-30T00:00:00"/>
    <s v="PLN"/>
    <n v="113400.54"/>
    <n v="24948.1188"/>
    <n v="94969.4208323614"/>
    <n v="20893.272583119509"/>
    <n v="0.19407425049135479"/>
    <s v=""/>
    <x v="0"/>
  </r>
  <r>
    <s v="DE01"/>
    <s v="ES01"/>
    <x v="2"/>
    <s v="Spain"/>
    <x v="0"/>
    <d v="2025-04-27T00:00:00"/>
    <s v="PLN"/>
    <n v="134038.22"/>
    <n v="29488.4084"/>
    <n v="109708.0036135805"/>
    <n v="24135.760794987709"/>
    <n v="0.2217724831828744"/>
    <s v=""/>
    <x v="0"/>
  </r>
  <r>
    <s v="PL01"/>
    <s v="ES01"/>
    <x v="0"/>
    <s v="Spain"/>
    <x v="0"/>
    <d v="2025-02-15T00:00:00"/>
    <s v="USD"/>
    <n v="6036.72"/>
    <n v="5433.0480000000007"/>
    <n v="3734.208796487058"/>
    <n v="3360.7879168383524"/>
    <n v="0.61659948037159051"/>
    <s v=""/>
    <x v="0"/>
  </r>
  <r>
    <s v="NL01"/>
    <s v="PL01"/>
    <x v="1"/>
    <s v="Poland"/>
    <x v="0"/>
    <d v="2025-12-03T00:00:00"/>
    <s v="EUR"/>
    <n v="186632.17"/>
    <n v="186632.17"/>
    <n v="161950.40181081899"/>
    <n v="161950.40181081899"/>
    <n v="0.15240325379379313"/>
    <s v=""/>
    <x v="0"/>
  </r>
  <r>
    <s v="PL01"/>
    <s v="DE01"/>
    <x v="0"/>
    <s v="Germany"/>
    <x v="2"/>
    <d v="2025-09-12T00:00:00"/>
    <s v="EUR"/>
    <n v="199711.5"/>
    <n v="199711.5"/>
    <m/>
    <s v=""/>
    <s v=""/>
    <s v="Missing Cost Base, Margin not calculable"/>
    <x v="2"/>
  </r>
  <r>
    <s v="FR01"/>
    <s v="NL01"/>
    <x v="4"/>
    <s v="Netherlands"/>
    <x v="0"/>
    <d v="2025-12-11T00:00:00"/>
    <s v="USD"/>
    <n v="138608.73000000001"/>
    <n v="124747.85700000002"/>
    <n v="95479.737787367063"/>
    <n v="85931.764008630358"/>
    <n v="0.45170832275095918"/>
    <s v=""/>
    <x v="0"/>
  </r>
  <r>
    <s v="DE01"/>
    <s v="ES01"/>
    <x v="2"/>
    <s v="Spain"/>
    <x v="2"/>
    <d v="2025-12-25T00:00:00"/>
    <s v="EUR"/>
    <n v="11735.37"/>
    <n v="11735.37"/>
    <n v="8768.3922692722463"/>
    <n v="8768.3922692722463"/>
    <n v="0.33837192037189801"/>
    <s v=""/>
    <x v="0"/>
  </r>
  <r>
    <s v="NL01"/>
    <s v="PL01"/>
    <x v="1"/>
    <s v="Poland"/>
    <x v="2"/>
    <d v="2025-03-04T00:00:00"/>
    <s v="PLN"/>
    <n v="185981.27"/>
    <n v="40915.879399999998"/>
    <n v="169391.51249359691"/>
    <n v="37266.132748591321"/>
    <n v="9.7937359801484616E-2"/>
    <s v=""/>
    <x v="1"/>
  </r>
  <r>
    <s v="NL01"/>
    <s v="FR01"/>
    <x v="1"/>
    <s v="France"/>
    <x v="2"/>
    <d v="2025-05-09T00:00:00"/>
    <s v="USD"/>
    <n v="117408.93"/>
    <n v="105668.037"/>
    <n v="100502.40299507701"/>
    <n v="90452.162695569306"/>
    <n v="0.16822012709239534"/>
    <s v=""/>
    <x v="0"/>
  </r>
  <r>
    <s v="FR01"/>
    <s v="ES01"/>
    <x v="4"/>
    <s v="Spain"/>
    <x v="1"/>
    <d v="2025-07-09T00:00:00"/>
    <s v="EUR"/>
    <n v="107736.12"/>
    <n v="107736.12"/>
    <n v="71348.532240169676"/>
    <n v="71348.532240169676"/>
    <n v="0.50999770587213111"/>
    <s v=""/>
    <x v="0"/>
  </r>
  <r>
    <s v="PL01"/>
    <s v="ES01"/>
    <x v="0"/>
    <s v="Spain"/>
    <x v="2"/>
    <d v="2025-05-08T00:00:00"/>
    <s v="USD"/>
    <n v="12383.2"/>
    <n v="11144.880000000001"/>
    <n v="7671.3236045037866"/>
    <n v="6904.1912440534079"/>
    <n v="0.6142194800294829"/>
    <s v=""/>
    <x v="0"/>
  </r>
  <r>
    <s v="NL01"/>
    <s v="FR01"/>
    <x v="1"/>
    <s v="France"/>
    <x v="1"/>
    <d v="2025-02-18T00:00:00"/>
    <s v="PLN"/>
    <n v="98005.43"/>
    <n v="21561.194599999999"/>
    <n v="62619.195991463726"/>
    <n v="13776.22311812202"/>
    <n v="0.56510201781192038"/>
    <s v=""/>
    <x v="0"/>
  </r>
  <r>
    <s v="FR01"/>
    <s v="NL01"/>
    <x v="4"/>
    <s v="Netherlands"/>
    <x v="2"/>
    <d v="2025-06-30T00:00:00"/>
    <s v="PLN"/>
    <n v="8066.91"/>
    <n v="1774.7202"/>
    <n v="7404.8859570508293"/>
    <n v="1629.0749105511825"/>
    <n v="8.9403678434615233E-2"/>
    <s v=""/>
    <x v="1"/>
  </r>
  <r>
    <s v="FR01"/>
    <s v="PL01"/>
    <x v="4"/>
    <s v="Poland"/>
    <x v="2"/>
    <d v="2025-05-02T00:00:00"/>
    <s v="USD"/>
    <n v="181942.25"/>
    <n v="163748.02499999999"/>
    <m/>
    <s v=""/>
    <s v=""/>
    <s v="Missing Cost Base, Margin not calculable"/>
    <x v="2"/>
  </r>
  <r>
    <s v="DE01"/>
    <s v="FR01"/>
    <x v="2"/>
    <s v="France"/>
    <x v="0"/>
    <d v="2025-09-09T00:00:00"/>
    <s v="USD"/>
    <n v="195792.7"/>
    <n v="176213.43000000002"/>
    <n v="130403.146255848"/>
    <n v="117362.8316302632"/>
    <n v="0.50144153436190264"/>
    <s v=""/>
    <x v="0"/>
  </r>
  <r>
    <s v="NL01"/>
    <s v="DE01"/>
    <x v="1"/>
    <s v="Germany"/>
    <x v="1"/>
    <d v="2025-07-06T00:00:00"/>
    <s v="PLN"/>
    <n v="172748.68"/>
    <n v="38004.709600000002"/>
    <n v="142517.8725983577"/>
    <n v="31353.931971638696"/>
    <n v="0.21211941246722385"/>
    <s v=""/>
    <x v="0"/>
  </r>
  <r>
    <s v="NL01"/>
    <s v="ES01"/>
    <x v="1"/>
    <s v="Spain"/>
    <x v="1"/>
    <d v="2025-10-16T00:00:00"/>
    <s v="USD"/>
    <n v="193688.81"/>
    <n v="174319.929"/>
    <n v="159842.0815615085"/>
    <n v="143857.87340535765"/>
    <n v="0.21175104895932562"/>
    <s v=""/>
    <x v="0"/>
  </r>
  <r>
    <s v="FR01"/>
    <s v="PL01"/>
    <x v="4"/>
    <s v="Poland"/>
    <x v="1"/>
    <d v="2025-01-31T00:00:00"/>
    <s v="USD"/>
    <n v="101744.17"/>
    <n v="91569.752999999997"/>
    <n v="65790.068529345503"/>
    <n v="59211.061676410951"/>
    <n v="0.54649740111787926"/>
    <s v=""/>
    <x v="0"/>
  </r>
  <r>
    <s v="ES01"/>
    <s v="PL01"/>
    <x v="3"/>
    <s v="Poland"/>
    <x v="2"/>
    <d v="2025-06-06T00:00:00"/>
    <s v="USD"/>
    <n v="167566.82999999999"/>
    <n v="150810.147"/>
    <n v="150651.53965513999"/>
    <n v="135586.38568962598"/>
    <n v="0.11228089924325506"/>
    <s v=""/>
    <x v="1"/>
  </r>
  <r>
    <s v="PL01"/>
    <s v="ES01"/>
    <x v="0"/>
    <s v="Spain"/>
    <x v="1"/>
    <d v="2025-09-10T00:00:00"/>
    <s v="PLN"/>
    <n v="130763.63"/>
    <n v="28767.998600000003"/>
    <m/>
    <s v=""/>
    <s v=""/>
    <s v="Missing Cost Base, Margin not calculable"/>
    <x v="2"/>
  </r>
  <r>
    <s v="PL01"/>
    <s v="NL01"/>
    <x v="0"/>
    <s v="Netherlands"/>
    <x v="2"/>
    <d v="2025-09-19T00:00:00"/>
    <s v="EUR"/>
    <n v="16574.66"/>
    <n v="16574.66"/>
    <n v="11433.7200253069"/>
    <n v="11433.7200253069"/>
    <n v="0.44962968861528579"/>
    <s v=""/>
    <x v="0"/>
  </r>
  <r>
    <s v="PL01"/>
    <s v="FR01"/>
    <x v="0"/>
    <s v="France"/>
    <x v="1"/>
    <d v="2025-07-11T00:00:00"/>
    <s v="EUR"/>
    <n v="198027.27"/>
    <n v="198027.27"/>
    <n v="122834.6392168835"/>
    <n v="122834.6392168835"/>
    <n v="0.61214516737703195"/>
    <s v=""/>
    <x v="0"/>
  </r>
  <r>
    <s v="NL01"/>
    <s v="PL01"/>
    <x v="1"/>
    <s v="Poland"/>
    <x v="1"/>
    <d v="2025-02-09T00:00:00"/>
    <s v="EUR"/>
    <n v="103254.74"/>
    <n v="103254.74"/>
    <n v="92511.731497655433"/>
    <n v="92511.731497655433"/>
    <n v="0.11612590455748671"/>
    <s v=""/>
    <x v="0"/>
  </r>
  <r>
    <s v="DE01"/>
    <s v="ES01"/>
    <x v="2"/>
    <s v="Spain"/>
    <x v="1"/>
    <d v="2025-05-24T00:00:00"/>
    <s v="USD"/>
    <n v="149658.79"/>
    <n v="134692.91100000002"/>
    <n v="106463.7169996427"/>
    <n v="95817.345299678433"/>
    <n v="0.40572576477394912"/>
    <s v=""/>
    <x v="0"/>
  </r>
  <r>
    <s v="FR01"/>
    <s v="NL01"/>
    <x v="4"/>
    <s v="Netherlands"/>
    <x v="2"/>
    <d v="2025-12-07T00:00:00"/>
    <s v="USD"/>
    <n v="22148.04"/>
    <n v="19933.236000000001"/>
    <n v="14222.14920283798"/>
    <n v="12799.934282554183"/>
    <n v="0.55729205791065928"/>
    <s v=""/>
    <x v="0"/>
  </r>
  <r>
    <s v="PL01"/>
    <s v="NL01"/>
    <x v="0"/>
    <s v="Netherlands"/>
    <x v="0"/>
    <d v="2025-11-13T00:00:00"/>
    <s v="PLN"/>
    <n v="186819.67"/>
    <n v="41100.327400000002"/>
    <m/>
    <s v=""/>
    <s v=""/>
    <s v="Missing Cost Base, Margin not calculable"/>
    <x v="2"/>
  </r>
  <r>
    <s v="DE01"/>
    <s v="PL01"/>
    <x v="2"/>
    <s v="Poland"/>
    <x v="2"/>
    <d v="2025-12-24T00:00:00"/>
    <s v="USD"/>
    <n v="162516.88"/>
    <n v="146265.19200000001"/>
    <n v="126299.326174815"/>
    <n v="113669.3935573335"/>
    <n v="0.28675967578049555"/>
    <s v=""/>
    <x v="0"/>
  </r>
  <r>
    <s v="DE01"/>
    <s v="NL01"/>
    <x v="2"/>
    <s v="Netherlands"/>
    <x v="1"/>
    <d v="2025-01-25T00:00:00"/>
    <s v="PLN"/>
    <n v="166551.29"/>
    <n v="36641.283800000005"/>
    <n v="110335.7646417573"/>
    <n v="24273.868221186607"/>
    <n v="0.50949504488200714"/>
    <s v=""/>
    <x v="0"/>
  </r>
  <r>
    <s v="ES01"/>
    <s v="NL01"/>
    <x v="3"/>
    <s v="Netherlands"/>
    <x v="2"/>
    <d v="2025-07-31T00:00:00"/>
    <s v="PLN"/>
    <n v="166575.31"/>
    <n v="36646.568200000002"/>
    <m/>
    <s v=""/>
    <s v=""/>
    <s v="Missing Cost Base, Margin not calculable"/>
    <x v="2"/>
  </r>
  <r>
    <s v="FR01"/>
    <s v="PL01"/>
    <x v="4"/>
    <s v="Poland"/>
    <x v="1"/>
    <d v="2025-09-19T00:00:00"/>
    <s v="PLN"/>
    <n v="97050.01"/>
    <n v="21351.002199999999"/>
    <n v="75651.79042350738"/>
    <n v="16643.393893171622"/>
    <n v="0.28285146269113981"/>
    <s v=""/>
    <x v="0"/>
  </r>
  <r>
    <s v="DE01"/>
    <s v="ES01"/>
    <x v="2"/>
    <s v="Spain"/>
    <x v="0"/>
    <d v="2025-12-08T00:00:00"/>
    <s v="USD"/>
    <n v="112648.48"/>
    <n v="101383.632"/>
    <n v="105153.00262139"/>
    <n v="94637.702359250994"/>
    <n v="7.1281629546974923E-2"/>
    <s v=""/>
    <x v="1"/>
  </r>
  <r>
    <s v="FR01"/>
    <s v="DE01"/>
    <x v="4"/>
    <s v="Germany"/>
    <x v="1"/>
    <d v="2025-05-16T00:00:00"/>
    <s v="PLN"/>
    <n v="61157.440000000002"/>
    <n v="13454.6368"/>
    <n v="55502.293578781471"/>
    <n v="12210.504587331923"/>
    <n v="0.10189031941880858"/>
    <s v=""/>
    <x v="0"/>
  </r>
  <r>
    <s v="FR01"/>
    <s v="DE01"/>
    <x v="4"/>
    <s v="Germany"/>
    <x v="1"/>
    <d v="2025-05-05T00:00:00"/>
    <s v="PLN"/>
    <n v="5201.42"/>
    <n v="1144.3124"/>
    <n v="3455.3490481020249"/>
    <n v="760.17679058244551"/>
    <n v="0.50532404327055391"/>
    <s v=""/>
    <x v="0"/>
  </r>
  <r>
    <s v="FR01"/>
    <s v="ES01"/>
    <x v="4"/>
    <s v="Spain"/>
    <x v="1"/>
    <d v="2025-07-31T00:00:00"/>
    <s v="PLN"/>
    <n v="110510.71"/>
    <n v="24312.356200000002"/>
    <n v="92953.893216660275"/>
    <n v="20449.856507665259"/>
    <n v="0.18887661587683779"/>
    <s v=""/>
    <x v="0"/>
  </r>
  <r>
    <s v="ES01"/>
    <s v="DE01"/>
    <x v="3"/>
    <s v="Germany"/>
    <x v="2"/>
    <d v="2025-07-16T00:00:00"/>
    <s v="PLN"/>
    <n v="12210.14"/>
    <n v="2686.2307999999998"/>
    <n v="10107.443266135169"/>
    <n v="2223.6375185497373"/>
    <n v="0.20803448295474311"/>
    <s v=""/>
    <x v="0"/>
  </r>
  <r>
    <s v="DE01"/>
    <s v="PL01"/>
    <x v="2"/>
    <s v="Poland"/>
    <x v="0"/>
    <d v="2025-03-27T00:00:00"/>
    <s v="PLN"/>
    <n v="144942.01999999999"/>
    <n v="31887.2444"/>
    <n v="128542.8914755291"/>
    <n v="28279.436124616404"/>
    <n v="0.12757709381068974"/>
    <s v=""/>
    <x v="0"/>
  </r>
  <r>
    <s v="PL01"/>
    <s v="FR01"/>
    <x v="0"/>
    <s v="France"/>
    <x v="0"/>
    <d v="2025-06-15T00:00:00"/>
    <s v="PLN"/>
    <n v="104153.99"/>
    <n v="22913.877800000002"/>
    <m/>
    <s v=""/>
    <s v=""/>
    <s v="Missing Cost Base, Margin not calculable"/>
    <x v="2"/>
  </r>
  <r>
    <s v="DE01"/>
    <s v="NL01"/>
    <x v="2"/>
    <s v="Netherlands"/>
    <x v="1"/>
    <d v="2025-02-05T00:00:00"/>
    <s v="USD"/>
    <n v="112919.57"/>
    <n v="101627.61300000001"/>
    <n v="95651.297147206526"/>
    <n v="86086.167432485876"/>
    <n v="0.18053359826597815"/>
    <s v=""/>
    <x v="0"/>
  </r>
  <r>
    <s v="FR01"/>
    <s v="PL01"/>
    <x v="4"/>
    <s v="Poland"/>
    <x v="0"/>
    <d v="2025-05-09T00:00:00"/>
    <s v="EUR"/>
    <n v="120886.72"/>
    <n v="120886.72"/>
    <n v="108310.29870846641"/>
    <n v="108310.29870846641"/>
    <n v="0.11611473185375419"/>
    <s v=""/>
    <x v="0"/>
  </r>
  <r>
    <s v="ES01"/>
    <s v="DE01"/>
    <x v="3"/>
    <s v="Germany"/>
    <x v="1"/>
    <d v="2025-11-02T00:00:00"/>
    <s v="EUR"/>
    <n v="100117.3"/>
    <n v="100117.3"/>
    <n v="81740.222662812419"/>
    <n v="81740.222662812419"/>
    <n v="0.22482294198041383"/>
    <s v=""/>
    <x v="0"/>
  </r>
  <r>
    <s v="PL01"/>
    <s v="FR01"/>
    <x v="0"/>
    <s v="France"/>
    <x v="1"/>
    <d v="2025-04-06T00:00:00"/>
    <s v="USD"/>
    <n v="188186.68"/>
    <n v="169368.01199999999"/>
    <n v="167590.5481885857"/>
    <n v="150831.49336972713"/>
    <n v="0.12289554532775882"/>
    <s v=""/>
    <x v="0"/>
  </r>
  <r>
    <s v="PL01"/>
    <s v="FR01"/>
    <x v="0"/>
    <s v="France"/>
    <x v="1"/>
    <d v="2025-09-11T00:00:00"/>
    <s v="USD"/>
    <n v="51826.31"/>
    <n v="46643.678999999996"/>
    <n v="37694.537544706844"/>
    <n v="33925.08379023616"/>
    <n v="0.37490239636266787"/>
    <s v=""/>
    <x v="0"/>
  </r>
  <r>
    <s v="NL01"/>
    <s v="FR01"/>
    <x v="1"/>
    <s v="France"/>
    <x v="1"/>
    <d v="2025-02-26T00:00:00"/>
    <s v="PLN"/>
    <n v="156768.67000000001"/>
    <n v="34489.107400000001"/>
    <n v="147477.2419616273"/>
    <n v="32444.993231558004"/>
    <n v="6.3002453224547589E-2"/>
    <s v=""/>
    <x v="1"/>
  </r>
  <r>
    <s v="DE01"/>
    <s v="PL01"/>
    <x v="2"/>
    <s v="Poland"/>
    <x v="2"/>
    <d v="2025-03-17T00:00:00"/>
    <s v="PLN"/>
    <n v="163749.10999999999"/>
    <n v="36024.804199999999"/>
    <n v="100835.0381984967"/>
    <n v="22183.708403669272"/>
    <n v="0.62393065868289876"/>
    <s v=""/>
    <x v="0"/>
  </r>
  <r>
    <s v="FR01"/>
    <s v="DE01"/>
    <x v="4"/>
    <s v="Germany"/>
    <x v="2"/>
    <d v="2025-09-08T00:00:00"/>
    <s v="PLN"/>
    <n v="11365.55"/>
    <n v="2500.4209999999998"/>
    <n v="7850.4847987964058"/>
    <n v="1727.1066557352092"/>
    <n v="0.44775135438036961"/>
    <s v=""/>
    <x v="0"/>
  </r>
  <r>
    <s v="NL01"/>
    <s v="ES01"/>
    <x v="1"/>
    <s v="Spain"/>
    <x v="1"/>
    <d v="2025-06-06T00:00:00"/>
    <s v="EUR"/>
    <n v="160933.85999999999"/>
    <n v="160933.85999999999"/>
    <n v="126619.087994856"/>
    <n v="126619.087994856"/>
    <n v="0.27100789105776885"/>
    <s v=""/>
    <x v="0"/>
  </r>
  <r>
    <s v="FR01"/>
    <s v="PL01"/>
    <x v="4"/>
    <s v="Poland"/>
    <x v="2"/>
    <d v="2025-07-08T00:00:00"/>
    <s v="EUR"/>
    <n v="51828.29"/>
    <n v="51828.29"/>
    <n v="46883.33513268461"/>
    <n v="46883.33513268461"/>
    <n v="0.1054736155890076"/>
    <s v=""/>
    <x v="1"/>
  </r>
  <r>
    <s v="PL01"/>
    <s v="NL01"/>
    <x v="0"/>
    <s v="Netherlands"/>
    <x v="0"/>
    <d v="2025-06-18T00:00:00"/>
    <s v="EUR"/>
    <n v="39704.61"/>
    <n v="39704.61"/>
    <n v="36550.893732315533"/>
    <n v="36550.893732315533"/>
    <n v="8.628287698738786E-2"/>
    <s v=""/>
    <x v="1"/>
  </r>
  <r>
    <s v="NL01"/>
    <s v="ES01"/>
    <x v="1"/>
    <s v="Spain"/>
    <x v="0"/>
    <d v="2025-11-30T00:00:00"/>
    <s v="EUR"/>
    <n v="73743.850000000006"/>
    <n v="73743.850000000006"/>
    <n v="45319.355425274312"/>
    <n v="45319.355425274312"/>
    <n v="0.62720429953144341"/>
    <s v=""/>
    <x v="0"/>
  </r>
  <r>
    <s v="PL01"/>
    <s v="ES01"/>
    <x v="0"/>
    <s v="Spain"/>
    <x v="1"/>
    <d v="2025-06-04T00:00:00"/>
    <s v="USD"/>
    <n v="123694.32"/>
    <n v="111324.88800000001"/>
    <n v="116251.1062293131"/>
    <n v="104625.9956063818"/>
    <n v="6.4027036061099177E-2"/>
    <s v=""/>
    <x v="1"/>
  </r>
  <r>
    <s v="NL01"/>
    <s v="ES01"/>
    <x v="1"/>
    <s v="Spain"/>
    <x v="1"/>
    <d v="2025-06-17T00:00:00"/>
    <s v="USD"/>
    <n v="101648.12"/>
    <n v="91483.308000000005"/>
    <n v="78104.595692165181"/>
    <n v="70294.136122948665"/>
    <n v="0.3014358386877421"/>
    <s v=""/>
    <x v="0"/>
  </r>
  <r>
    <s v="ES01"/>
    <s v="FR01"/>
    <x v="3"/>
    <s v="France"/>
    <x v="2"/>
    <d v="2025-02-02T00:00:00"/>
    <s v="USD"/>
    <n v="82093.34"/>
    <n v="73884.005999999994"/>
    <n v="64415.978159756967"/>
    <n v="57974.380343781275"/>
    <n v="0.27442510919265556"/>
    <s v="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0C78C-AE1B-674D-974B-8F34E3D0E06B}" name="PivotTable6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1:E18" firstHeaderRow="1" firstDataRow="2" firstDataCol="1"/>
  <pivotFields count="14"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Status" fld="13" subtotal="count" showDataAs="percentOfTota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2381D-5246-D64B-81B3-C50218AA86E6}" name="PivotTable5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7" firstHeaderRow="1" firstDataRow="1" firstDataCol="1"/>
  <pivotFields count="14"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13" subtotal="count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1AB11-617F-E04C-B57F-729B464C072A}" name="PivotTable7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3:E28" firstHeaderRow="1" firstDataRow="2" firstDataCol="1"/>
  <pivotFields count="14"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Status" fld="13" subtotal="count" showDataAs="percentOfTotal" baseField="0" baseItem="0" numFmtId="10"/>
  </dataFields>
  <chartFormats count="10"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7B6B3-04AC-554B-BA8E-27AD179BC6AC}" name="PivotTable2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4"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BDB1-357B-304C-B861-4DFCEB69C4F1}">
  <dimension ref="A1:K301"/>
  <sheetViews>
    <sheetView workbookViewId="0">
      <selection activeCell="K80" sqref="K80"/>
    </sheetView>
  </sheetViews>
  <sheetFormatPr baseColWidth="10" defaultColWidth="8.83203125" defaultRowHeight="15"/>
  <cols>
    <col min="1" max="1" width="11.5" bestFit="1" customWidth="1"/>
    <col min="2" max="2" width="12.83203125" bestFit="1" customWidth="1"/>
    <col min="3" max="3" width="13.1640625" bestFit="1" customWidth="1"/>
    <col min="4" max="4" width="14.5" bestFit="1" customWidth="1"/>
    <col min="5" max="5" width="14" bestFit="1" customWidth="1"/>
    <col min="6" max="6" width="10.1640625" bestFit="1" customWidth="1"/>
    <col min="7" max="7" width="8.1640625" bestFit="1" customWidth="1"/>
    <col min="8" max="8" width="17.6640625" bestFit="1" customWidth="1"/>
    <col min="9" max="9" width="8.33203125" bestFit="1" customWidth="1"/>
    <col min="10" max="10" width="12.1640625" bestFit="1" customWidth="1"/>
    <col min="11" max="11" width="22.332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122538.86</v>
      </c>
      <c r="G2" t="s">
        <v>16</v>
      </c>
      <c r="H2" s="3">
        <v>45950</v>
      </c>
      <c r="I2">
        <v>0.1135</v>
      </c>
      <c r="J2">
        <v>101224.81090356471</v>
      </c>
      <c r="K2" t="s">
        <v>17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98144.7</v>
      </c>
      <c r="G3" t="s">
        <v>23</v>
      </c>
      <c r="H3" s="3">
        <v>45683</v>
      </c>
      <c r="I3">
        <v>0.1643</v>
      </c>
      <c r="J3">
        <v>72379.231092256974</v>
      </c>
      <c r="K3" t="s">
        <v>17</v>
      </c>
    </row>
    <row r="4" spans="1:11">
      <c r="A4" t="s">
        <v>19</v>
      </c>
      <c r="B4" t="s">
        <v>18</v>
      </c>
      <c r="C4" t="s">
        <v>21</v>
      </c>
      <c r="D4" t="s">
        <v>20</v>
      </c>
      <c r="E4" t="s">
        <v>22</v>
      </c>
      <c r="F4">
        <v>156740.57</v>
      </c>
      <c r="G4" t="s">
        <v>24</v>
      </c>
      <c r="H4" s="3">
        <v>45901</v>
      </c>
      <c r="J4">
        <v>137885.5411064988</v>
      </c>
      <c r="K4" t="s">
        <v>17</v>
      </c>
    </row>
    <row r="5" spans="1:11">
      <c r="A5" t="s">
        <v>12</v>
      </c>
      <c r="B5" t="s">
        <v>25</v>
      </c>
      <c r="C5" t="s">
        <v>14</v>
      </c>
      <c r="D5" t="s">
        <v>26</v>
      </c>
      <c r="E5" t="s">
        <v>22</v>
      </c>
      <c r="F5">
        <v>32953.89</v>
      </c>
      <c r="G5" t="s">
        <v>24</v>
      </c>
      <c r="H5" s="3">
        <v>45821</v>
      </c>
      <c r="I5">
        <v>0.1895</v>
      </c>
      <c r="J5">
        <v>24554.987385172011</v>
      </c>
      <c r="K5" t="s">
        <v>17</v>
      </c>
    </row>
    <row r="6" spans="1:11">
      <c r="A6" t="s">
        <v>25</v>
      </c>
      <c r="B6" t="s">
        <v>11</v>
      </c>
      <c r="C6" t="s">
        <v>26</v>
      </c>
      <c r="D6" t="s">
        <v>13</v>
      </c>
      <c r="E6" t="s">
        <v>22</v>
      </c>
      <c r="F6">
        <v>31367.54</v>
      </c>
      <c r="G6" t="s">
        <v>23</v>
      </c>
      <c r="H6" s="3">
        <v>45931</v>
      </c>
      <c r="I6">
        <v>7.1599999999999997E-2</v>
      </c>
      <c r="J6">
        <v>21261.310263593019</v>
      </c>
    </row>
    <row r="7" spans="1:11">
      <c r="A7" t="s">
        <v>19</v>
      </c>
      <c r="B7" t="s">
        <v>12</v>
      </c>
      <c r="C7" t="s">
        <v>21</v>
      </c>
      <c r="D7" t="s">
        <v>14</v>
      </c>
      <c r="E7" t="s">
        <v>27</v>
      </c>
      <c r="F7">
        <v>180957.97</v>
      </c>
      <c r="G7" t="s">
        <v>16</v>
      </c>
      <c r="H7" s="3">
        <v>45925</v>
      </c>
      <c r="J7">
        <v>149941.5952513027</v>
      </c>
      <c r="K7" t="s">
        <v>17</v>
      </c>
    </row>
    <row r="8" spans="1:11">
      <c r="A8" t="s">
        <v>12</v>
      </c>
      <c r="B8" t="s">
        <v>18</v>
      </c>
      <c r="C8" t="s">
        <v>14</v>
      </c>
      <c r="D8" t="s">
        <v>20</v>
      </c>
      <c r="E8" t="s">
        <v>27</v>
      </c>
      <c r="F8">
        <v>68384.210000000006</v>
      </c>
      <c r="G8" t="s">
        <v>24</v>
      </c>
      <c r="H8" s="3">
        <v>45705</v>
      </c>
      <c r="I8">
        <v>1.7299999999999999E-2</v>
      </c>
      <c r="J8">
        <v>63982.471857737961</v>
      </c>
      <c r="K8" t="s">
        <v>17</v>
      </c>
    </row>
    <row r="9" spans="1:11">
      <c r="A9" t="s">
        <v>12</v>
      </c>
      <c r="B9" t="s">
        <v>18</v>
      </c>
      <c r="C9" t="s">
        <v>14</v>
      </c>
      <c r="D9" t="s">
        <v>20</v>
      </c>
      <c r="E9" t="s">
        <v>22</v>
      </c>
      <c r="F9">
        <v>54391.86</v>
      </c>
      <c r="G9" t="s">
        <v>16</v>
      </c>
      <c r="H9" s="3">
        <v>45999</v>
      </c>
      <c r="I9">
        <v>9.8599999999999993E-2</v>
      </c>
      <c r="J9">
        <v>35661.443968266889</v>
      </c>
      <c r="K9" t="s">
        <v>17</v>
      </c>
    </row>
    <row r="10" spans="1:11">
      <c r="A10" t="s">
        <v>19</v>
      </c>
      <c r="B10" t="s">
        <v>11</v>
      </c>
      <c r="C10" t="s">
        <v>21</v>
      </c>
      <c r="D10" t="s">
        <v>13</v>
      </c>
      <c r="E10" t="s">
        <v>22</v>
      </c>
      <c r="F10">
        <v>7646.47</v>
      </c>
      <c r="G10" t="s">
        <v>24</v>
      </c>
      <c r="H10" s="3">
        <v>45756</v>
      </c>
      <c r="I10">
        <v>0.1283</v>
      </c>
      <c r="J10">
        <v>7189.0639061422662</v>
      </c>
      <c r="K10" t="s">
        <v>17</v>
      </c>
    </row>
    <row r="11" spans="1:11">
      <c r="A11" t="s">
        <v>18</v>
      </c>
      <c r="B11" t="s">
        <v>11</v>
      </c>
      <c r="C11" t="s">
        <v>20</v>
      </c>
      <c r="D11" t="s">
        <v>13</v>
      </c>
      <c r="E11" t="s">
        <v>15</v>
      </c>
      <c r="F11">
        <v>8897.59</v>
      </c>
      <c r="G11" t="s">
        <v>24</v>
      </c>
      <c r="H11" s="3">
        <v>45845</v>
      </c>
      <c r="J11">
        <v>6457.9203138590783</v>
      </c>
      <c r="K11" t="s">
        <v>17</v>
      </c>
    </row>
    <row r="12" spans="1:11">
      <c r="A12" t="s">
        <v>25</v>
      </c>
      <c r="B12" t="s">
        <v>12</v>
      </c>
      <c r="C12" t="s">
        <v>26</v>
      </c>
      <c r="D12" t="s">
        <v>14</v>
      </c>
      <c r="E12" t="s">
        <v>27</v>
      </c>
      <c r="F12">
        <v>115211.83</v>
      </c>
      <c r="G12" t="s">
        <v>23</v>
      </c>
      <c r="H12" s="3">
        <v>45716</v>
      </c>
      <c r="I12">
        <v>0.1744</v>
      </c>
      <c r="J12">
        <v>106093.1631974558</v>
      </c>
      <c r="K12" t="s">
        <v>17</v>
      </c>
    </row>
    <row r="13" spans="1:11">
      <c r="A13" t="s">
        <v>25</v>
      </c>
      <c r="B13" t="s">
        <v>12</v>
      </c>
      <c r="C13" t="s">
        <v>26</v>
      </c>
      <c r="D13" t="s">
        <v>14</v>
      </c>
      <c r="E13" t="s">
        <v>22</v>
      </c>
      <c r="F13">
        <v>30700.58</v>
      </c>
      <c r="G13" t="s">
        <v>23</v>
      </c>
      <c r="H13" s="3">
        <v>45700</v>
      </c>
      <c r="I13">
        <v>0.14610000000000001</v>
      </c>
      <c r="J13">
        <v>20388.77637261296</v>
      </c>
      <c r="K13" t="s">
        <v>17</v>
      </c>
    </row>
    <row r="14" spans="1:11">
      <c r="A14" t="s">
        <v>11</v>
      </c>
      <c r="B14" t="s">
        <v>18</v>
      </c>
      <c r="C14" t="s">
        <v>13</v>
      </c>
      <c r="D14" t="s">
        <v>20</v>
      </c>
      <c r="E14" t="s">
        <v>15</v>
      </c>
      <c r="F14">
        <v>33556.14</v>
      </c>
      <c r="G14" t="s">
        <v>23</v>
      </c>
      <c r="H14" s="3">
        <v>45954</v>
      </c>
      <c r="I14">
        <v>0.1182</v>
      </c>
      <c r="J14">
        <v>23521.738497905561</v>
      </c>
    </row>
    <row r="15" spans="1:11">
      <c r="A15" t="s">
        <v>18</v>
      </c>
      <c r="B15" t="s">
        <v>12</v>
      </c>
      <c r="C15" t="s">
        <v>20</v>
      </c>
      <c r="D15" t="s">
        <v>14</v>
      </c>
      <c r="E15" t="s">
        <v>27</v>
      </c>
      <c r="F15">
        <v>48500.92</v>
      </c>
      <c r="G15" t="s">
        <v>16</v>
      </c>
      <c r="H15" s="3">
        <v>45895</v>
      </c>
      <c r="I15">
        <v>0.191</v>
      </c>
      <c r="J15">
        <v>43468.611758789928</v>
      </c>
      <c r="K15" t="s">
        <v>17</v>
      </c>
    </row>
    <row r="16" spans="1:11">
      <c r="A16" t="s">
        <v>19</v>
      </c>
      <c r="B16" t="s">
        <v>25</v>
      </c>
      <c r="C16" t="s">
        <v>21</v>
      </c>
      <c r="D16" t="s">
        <v>26</v>
      </c>
      <c r="E16" t="s">
        <v>22</v>
      </c>
      <c r="F16">
        <v>118348.21</v>
      </c>
      <c r="G16" t="s">
        <v>16</v>
      </c>
      <c r="H16" s="3">
        <v>45775</v>
      </c>
      <c r="I16">
        <v>0.17749999999999999</v>
      </c>
      <c r="J16">
        <v>101050.3170340228</v>
      </c>
    </row>
    <row r="17" spans="1:11">
      <c r="A17" t="s">
        <v>19</v>
      </c>
      <c r="B17" t="s">
        <v>18</v>
      </c>
      <c r="C17" t="s">
        <v>21</v>
      </c>
      <c r="D17" t="s">
        <v>20</v>
      </c>
      <c r="E17" t="s">
        <v>22</v>
      </c>
      <c r="F17">
        <v>123246.68</v>
      </c>
      <c r="G17" t="s">
        <v>16</v>
      </c>
      <c r="H17" s="3">
        <v>45842</v>
      </c>
      <c r="I17">
        <v>1.3599999999999999E-2</v>
      </c>
      <c r="J17">
        <v>102425.4768519401</v>
      </c>
      <c r="K17" t="s">
        <v>17</v>
      </c>
    </row>
    <row r="18" spans="1:11">
      <c r="A18" t="s">
        <v>19</v>
      </c>
      <c r="B18" t="s">
        <v>12</v>
      </c>
      <c r="C18" t="s">
        <v>21</v>
      </c>
      <c r="D18" t="s">
        <v>14</v>
      </c>
      <c r="E18" t="s">
        <v>22</v>
      </c>
      <c r="F18">
        <v>25058.35</v>
      </c>
      <c r="G18" t="s">
        <v>23</v>
      </c>
      <c r="H18" s="3">
        <v>45958</v>
      </c>
      <c r="I18">
        <v>2.76E-2</v>
      </c>
      <c r="J18">
        <v>19874.67173496816</v>
      </c>
    </row>
    <row r="19" spans="1:11">
      <c r="A19" t="s">
        <v>18</v>
      </c>
      <c r="B19" t="s">
        <v>11</v>
      </c>
      <c r="C19" t="s">
        <v>20</v>
      </c>
      <c r="D19" t="s">
        <v>13</v>
      </c>
      <c r="E19" t="s">
        <v>27</v>
      </c>
      <c r="F19">
        <v>23965.69</v>
      </c>
      <c r="G19" t="s">
        <v>23</v>
      </c>
      <c r="H19" s="3">
        <v>45701</v>
      </c>
      <c r="I19">
        <v>0.19700000000000001</v>
      </c>
      <c r="J19">
        <v>18883.95434460861</v>
      </c>
      <c r="K19" t="s">
        <v>17</v>
      </c>
    </row>
    <row r="20" spans="1:11">
      <c r="A20" t="s">
        <v>18</v>
      </c>
      <c r="B20" t="s">
        <v>19</v>
      </c>
      <c r="C20" t="s">
        <v>20</v>
      </c>
      <c r="D20" t="s">
        <v>21</v>
      </c>
      <c r="E20" t="s">
        <v>27</v>
      </c>
      <c r="F20">
        <v>199775.17</v>
      </c>
      <c r="G20" t="s">
        <v>23</v>
      </c>
      <c r="H20" s="3">
        <v>45875</v>
      </c>
      <c r="J20">
        <v>131226.8207770701</v>
      </c>
      <c r="K20" t="s">
        <v>17</v>
      </c>
    </row>
    <row r="21" spans="1:11">
      <c r="A21" t="s">
        <v>12</v>
      </c>
      <c r="B21" t="s">
        <v>25</v>
      </c>
      <c r="C21" t="s">
        <v>14</v>
      </c>
      <c r="D21" t="s">
        <v>26</v>
      </c>
      <c r="E21" t="s">
        <v>22</v>
      </c>
      <c r="F21">
        <v>115974.64</v>
      </c>
      <c r="G21" t="s">
        <v>24</v>
      </c>
      <c r="H21" s="3">
        <v>45960</v>
      </c>
      <c r="I21">
        <v>8.7400000000000005E-2</v>
      </c>
      <c r="J21">
        <v>97894.20181187884</v>
      </c>
    </row>
    <row r="22" spans="1:11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>
        <v>49994.76</v>
      </c>
      <c r="G22" t="s">
        <v>23</v>
      </c>
      <c r="H22" s="3">
        <v>45948</v>
      </c>
      <c r="J22">
        <v>43120.467354854511</v>
      </c>
      <c r="K22" t="s">
        <v>17</v>
      </c>
    </row>
    <row r="23" spans="1:11">
      <c r="A23" t="s">
        <v>19</v>
      </c>
      <c r="B23" t="s">
        <v>25</v>
      </c>
      <c r="C23" t="s">
        <v>21</v>
      </c>
      <c r="D23" t="s">
        <v>26</v>
      </c>
      <c r="E23" t="s">
        <v>22</v>
      </c>
      <c r="F23">
        <v>38342.39</v>
      </c>
      <c r="G23" t="s">
        <v>16</v>
      </c>
      <c r="H23" s="3">
        <v>45794</v>
      </c>
      <c r="J23">
        <v>35675.366693734417</v>
      </c>
      <c r="K23" t="s">
        <v>17</v>
      </c>
    </row>
    <row r="24" spans="1:11">
      <c r="A24" t="s">
        <v>19</v>
      </c>
      <c r="B24" t="s">
        <v>18</v>
      </c>
      <c r="C24" t="s">
        <v>21</v>
      </c>
      <c r="D24" t="s">
        <v>20</v>
      </c>
      <c r="E24" t="s">
        <v>22</v>
      </c>
      <c r="F24">
        <v>141324.12</v>
      </c>
      <c r="G24" t="s">
        <v>16</v>
      </c>
      <c r="H24" s="3">
        <v>45772</v>
      </c>
      <c r="I24">
        <v>0.1986</v>
      </c>
      <c r="J24">
        <v>118384.6312788309</v>
      </c>
      <c r="K24" t="s">
        <v>17</v>
      </c>
    </row>
    <row r="25" spans="1:11">
      <c r="A25" t="s">
        <v>19</v>
      </c>
      <c r="B25" t="s">
        <v>25</v>
      </c>
      <c r="C25" t="s">
        <v>21</v>
      </c>
      <c r="D25" t="s">
        <v>26</v>
      </c>
      <c r="E25" t="s">
        <v>27</v>
      </c>
      <c r="F25">
        <v>82653.11</v>
      </c>
      <c r="G25" t="s">
        <v>24</v>
      </c>
      <c r="H25" s="3">
        <v>45911</v>
      </c>
      <c r="I25">
        <v>4.99E-2</v>
      </c>
      <c r="J25">
        <v>76911.226260606723</v>
      </c>
      <c r="K25" t="s">
        <v>17</v>
      </c>
    </row>
    <row r="26" spans="1:11">
      <c r="A26" t="s">
        <v>12</v>
      </c>
      <c r="B26" t="s">
        <v>19</v>
      </c>
      <c r="C26" t="s">
        <v>14</v>
      </c>
      <c r="D26" t="s">
        <v>21</v>
      </c>
      <c r="E26" t="s">
        <v>27</v>
      </c>
      <c r="F26">
        <v>100128.35</v>
      </c>
      <c r="G26" t="s">
        <v>23</v>
      </c>
      <c r="H26" s="3">
        <v>45955</v>
      </c>
      <c r="J26">
        <v>81722.783801091631</v>
      </c>
      <c r="K26" t="s">
        <v>17</v>
      </c>
    </row>
    <row r="27" spans="1:11">
      <c r="A27" t="s">
        <v>19</v>
      </c>
      <c r="B27" t="s">
        <v>25</v>
      </c>
      <c r="C27" t="s">
        <v>21</v>
      </c>
      <c r="D27" t="s">
        <v>26</v>
      </c>
      <c r="E27" t="s">
        <v>27</v>
      </c>
      <c r="F27">
        <v>137030.91</v>
      </c>
      <c r="G27" t="s">
        <v>16</v>
      </c>
      <c r="H27" s="3">
        <v>45721</v>
      </c>
      <c r="I27">
        <v>0.12529999999999999</v>
      </c>
      <c r="J27">
        <v>104736.01518449689</v>
      </c>
    </row>
    <row r="28" spans="1:11">
      <c r="A28" t="s">
        <v>11</v>
      </c>
      <c r="B28" t="s">
        <v>25</v>
      </c>
      <c r="C28" t="s">
        <v>13</v>
      </c>
      <c r="D28" t="s">
        <v>26</v>
      </c>
      <c r="E28" t="s">
        <v>22</v>
      </c>
      <c r="F28">
        <v>176909.15</v>
      </c>
      <c r="G28" t="s">
        <v>16</v>
      </c>
      <c r="H28" s="3">
        <v>45896</v>
      </c>
      <c r="I28">
        <v>0.18179999999999999</v>
      </c>
      <c r="J28">
        <v>126249.27601271321</v>
      </c>
      <c r="K28" t="s">
        <v>17</v>
      </c>
    </row>
    <row r="29" spans="1:11">
      <c r="A29" t="s">
        <v>12</v>
      </c>
      <c r="B29" t="s">
        <v>18</v>
      </c>
      <c r="C29" t="s">
        <v>14</v>
      </c>
      <c r="D29" t="s">
        <v>20</v>
      </c>
      <c r="E29" t="s">
        <v>15</v>
      </c>
      <c r="F29">
        <v>41199.01</v>
      </c>
      <c r="G29" t="s">
        <v>23</v>
      </c>
      <c r="H29" s="3">
        <v>45939</v>
      </c>
      <c r="I29">
        <v>0.191</v>
      </c>
      <c r="J29">
        <v>27826.95203056739</v>
      </c>
      <c r="K29" t="s">
        <v>17</v>
      </c>
    </row>
    <row r="30" spans="1:11">
      <c r="A30" t="s">
        <v>11</v>
      </c>
      <c r="B30" t="s">
        <v>18</v>
      </c>
      <c r="C30" t="s">
        <v>13</v>
      </c>
      <c r="D30" t="s">
        <v>20</v>
      </c>
      <c r="E30" t="s">
        <v>27</v>
      </c>
      <c r="F30">
        <v>96991.56</v>
      </c>
      <c r="G30" t="s">
        <v>16</v>
      </c>
      <c r="H30" s="3">
        <v>45663</v>
      </c>
      <c r="I30">
        <v>0.1452</v>
      </c>
      <c r="J30">
        <v>82991.290168253079</v>
      </c>
      <c r="K30" t="s">
        <v>17</v>
      </c>
    </row>
    <row r="31" spans="1:11">
      <c r="A31" t="s">
        <v>12</v>
      </c>
      <c r="B31" t="s">
        <v>18</v>
      </c>
      <c r="C31" t="s">
        <v>14</v>
      </c>
      <c r="D31" t="s">
        <v>20</v>
      </c>
      <c r="E31" t="s">
        <v>22</v>
      </c>
      <c r="F31">
        <v>105888.93</v>
      </c>
      <c r="G31" t="s">
        <v>24</v>
      </c>
      <c r="H31" s="3">
        <v>46019</v>
      </c>
      <c r="I31">
        <v>3.5099999999999999E-2</v>
      </c>
      <c r="J31">
        <v>78211.776351233799</v>
      </c>
    </row>
    <row r="32" spans="1:11">
      <c r="A32" t="s">
        <v>25</v>
      </c>
      <c r="B32" t="s">
        <v>11</v>
      </c>
      <c r="C32" t="s">
        <v>26</v>
      </c>
      <c r="D32" t="s">
        <v>13</v>
      </c>
      <c r="E32" t="s">
        <v>27</v>
      </c>
      <c r="F32">
        <v>29342.45</v>
      </c>
      <c r="G32" t="s">
        <v>24</v>
      </c>
      <c r="H32" s="3">
        <v>45984</v>
      </c>
      <c r="I32">
        <v>0.1472</v>
      </c>
      <c r="J32">
        <v>25276.994400169671</v>
      </c>
      <c r="K32" t="s">
        <v>17</v>
      </c>
    </row>
    <row r="33" spans="1:11">
      <c r="A33" t="s">
        <v>18</v>
      </c>
      <c r="B33" t="s">
        <v>12</v>
      </c>
      <c r="C33" t="s">
        <v>20</v>
      </c>
      <c r="D33" t="s">
        <v>14</v>
      </c>
      <c r="E33" t="s">
        <v>22</v>
      </c>
      <c r="F33">
        <v>192577.59</v>
      </c>
      <c r="G33" t="s">
        <v>23</v>
      </c>
      <c r="H33" s="3">
        <v>45984</v>
      </c>
      <c r="I33">
        <v>6.5500000000000003E-2</v>
      </c>
      <c r="J33">
        <v>122306.58199258109</v>
      </c>
    </row>
    <row r="34" spans="1:11">
      <c r="A34" t="s">
        <v>18</v>
      </c>
      <c r="B34" t="s">
        <v>25</v>
      </c>
      <c r="C34" t="s">
        <v>20</v>
      </c>
      <c r="D34" t="s">
        <v>26</v>
      </c>
      <c r="E34" t="s">
        <v>22</v>
      </c>
      <c r="F34">
        <v>142181.48000000001</v>
      </c>
      <c r="G34" t="s">
        <v>16</v>
      </c>
      <c r="H34" s="3">
        <v>45867</v>
      </c>
      <c r="I34">
        <v>4.4499999999999998E-2</v>
      </c>
      <c r="J34">
        <v>114193.97955951</v>
      </c>
    </row>
    <row r="35" spans="1:11">
      <c r="A35" t="s">
        <v>19</v>
      </c>
      <c r="B35" t="s">
        <v>12</v>
      </c>
      <c r="C35" t="s">
        <v>21</v>
      </c>
      <c r="D35" t="s">
        <v>14</v>
      </c>
      <c r="E35" t="s">
        <v>22</v>
      </c>
      <c r="F35">
        <v>50181.82</v>
      </c>
      <c r="G35" t="s">
        <v>16</v>
      </c>
      <c r="H35" s="3">
        <v>45963</v>
      </c>
      <c r="J35">
        <v>44145.996133718203</v>
      </c>
    </row>
    <row r="36" spans="1:11">
      <c r="A36" t="s">
        <v>19</v>
      </c>
      <c r="B36" t="s">
        <v>18</v>
      </c>
      <c r="C36" t="s">
        <v>21</v>
      </c>
      <c r="D36" t="s">
        <v>20</v>
      </c>
      <c r="E36" t="s">
        <v>15</v>
      </c>
      <c r="F36">
        <v>125485.95</v>
      </c>
      <c r="G36" t="s">
        <v>24</v>
      </c>
      <c r="H36" s="3">
        <v>46000</v>
      </c>
      <c r="I36">
        <v>1.2500000000000001E-2</v>
      </c>
      <c r="J36">
        <v>81797.92883446443</v>
      </c>
      <c r="K36" t="s">
        <v>17</v>
      </c>
    </row>
    <row r="37" spans="1:11">
      <c r="A37" t="s">
        <v>19</v>
      </c>
      <c r="B37" t="s">
        <v>25</v>
      </c>
      <c r="C37" t="s">
        <v>21</v>
      </c>
      <c r="D37" t="s">
        <v>26</v>
      </c>
      <c r="E37" t="s">
        <v>15</v>
      </c>
      <c r="F37">
        <v>76874</v>
      </c>
      <c r="G37" t="s">
        <v>23</v>
      </c>
      <c r="H37" s="3">
        <v>45917</v>
      </c>
      <c r="J37">
        <v>51232.428932864408</v>
      </c>
      <c r="K37" t="s">
        <v>17</v>
      </c>
    </row>
    <row r="38" spans="1:11">
      <c r="A38" t="s">
        <v>19</v>
      </c>
      <c r="B38" t="s">
        <v>18</v>
      </c>
      <c r="C38" t="s">
        <v>21</v>
      </c>
      <c r="D38" t="s">
        <v>20</v>
      </c>
      <c r="E38" t="s">
        <v>22</v>
      </c>
      <c r="F38">
        <v>115996.1</v>
      </c>
      <c r="G38" t="s">
        <v>16</v>
      </c>
      <c r="H38" s="3">
        <v>45701</v>
      </c>
      <c r="I38">
        <v>7.5300000000000006E-2</v>
      </c>
      <c r="J38">
        <v>86298.818486595119</v>
      </c>
      <c r="K38" t="s">
        <v>17</v>
      </c>
    </row>
    <row r="39" spans="1:11">
      <c r="A39" t="s">
        <v>11</v>
      </c>
      <c r="B39" t="s">
        <v>25</v>
      </c>
      <c r="C39" t="s">
        <v>13</v>
      </c>
      <c r="D39" t="s">
        <v>26</v>
      </c>
      <c r="E39" t="s">
        <v>15</v>
      </c>
      <c r="F39">
        <v>50285.66</v>
      </c>
      <c r="G39" t="s">
        <v>16</v>
      </c>
      <c r="H39" s="3">
        <v>45884</v>
      </c>
      <c r="I39">
        <v>3.5200000000000002E-2</v>
      </c>
      <c r="J39">
        <v>42941.843023813257</v>
      </c>
      <c r="K39" t="s">
        <v>17</v>
      </c>
    </row>
    <row r="40" spans="1:11">
      <c r="A40" t="s">
        <v>12</v>
      </c>
      <c r="B40" t="s">
        <v>18</v>
      </c>
      <c r="C40" t="s">
        <v>14</v>
      </c>
      <c r="D40" t="s">
        <v>20</v>
      </c>
      <c r="E40" t="s">
        <v>22</v>
      </c>
      <c r="F40">
        <v>53871.43</v>
      </c>
      <c r="G40" t="s">
        <v>23</v>
      </c>
      <c r="H40" s="3">
        <v>45983</v>
      </c>
      <c r="J40">
        <v>40471.009697406444</v>
      </c>
      <c r="K40" t="s">
        <v>17</v>
      </c>
    </row>
    <row r="41" spans="1:11">
      <c r="A41" t="s">
        <v>25</v>
      </c>
      <c r="B41" t="s">
        <v>19</v>
      </c>
      <c r="C41" t="s">
        <v>26</v>
      </c>
      <c r="D41" t="s">
        <v>21</v>
      </c>
      <c r="E41" t="s">
        <v>22</v>
      </c>
      <c r="F41">
        <v>57713.94</v>
      </c>
      <c r="G41" t="s">
        <v>16</v>
      </c>
      <c r="H41" s="3">
        <v>45859</v>
      </c>
      <c r="I41">
        <v>3.5000000000000003E-2</v>
      </c>
      <c r="J41">
        <v>40720.619923080267</v>
      </c>
      <c r="K41" t="s">
        <v>17</v>
      </c>
    </row>
    <row r="42" spans="1:11">
      <c r="A42" t="s">
        <v>19</v>
      </c>
      <c r="B42" t="s">
        <v>11</v>
      </c>
      <c r="C42" t="s">
        <v>21</v>
      </c>
      <c r="D42" t="s">
        <v>13</v>
      </c>
      <c r="E42" t="s">
        <v>15</v>
      </c>
      <c r="F42">
        <v>171263.81</v>
      </c>
      <c r="G42" t="s">
        <v>23</v>
      </c>
      <c r="H42" s="3">
        <v>45981</v>
      </c>
      <c r="J42">
        <v>133289.43794787861</v>
      </c>
      <c r="K42" t="s">
        <v>17</v>
      </c>
    </row>
    <row r="43" spans="1:11">
      <c r="A43" t="s">
        <v>12</v>
      </c>
      <c r="B43" t="s">
        <v>11</v>
      </c>
      <c r="C43" t="s">
        <v>14</v>
      </c>
      <c r="D43" t="s">
        <v>13</v>
      </c>
      <c r="E43" t="s">
        <v>22</v>
      </c>
      <c r="F43">
        <v>137865.03</v>
      </c>
      <c r="G43" t="s">
        <v>24</v>
      </c>
      <c r="H43" s="3">
        <v>45829</v>
      </c>
      <c r="I43">
        <v>4.3900000000000002E-2</v>
      </c>
      <c r="J43">
        <v>83186.498985140875</v>
      </c>
      <c r="K43" t="s">
        <v>17</v>
      </c>
    </row>
    <row r="44" spans="1:11">
      <c r="A44" t="s">
        <v>18</v>
      </c>
      <c r="B44" t="s">
        <v>11</v>
      </c>
      <c r="C44" t="s">
        <v>20</v>
      </c>
      <c r="D44" t="s">
        <v>13</v>
      </c>
      <c r="E44" t="s">
        <v>27</v>
      </c>
      <c r="F44">
        <v>160960.20000000001</v>
      </c>
      <c r="G44" t="s">
        <v>24</v>
      </c>
      <c r="H44" s="3">
        <v>45864</v>
      </c>
      <c r="I44">
        <v>2.46E-2</v>
      </c>
      <c r="J44">
        <v>113860.5952446851</v>
      </c>
      <c r="K44" t="s">
        <v>17</v>
      </c>
    </row>
    <row r="45" spans="1:11">
      <c r="A45" t="s">
        <v>19</v>
      </c>
      <c r="B45" t="s">
        <v>18</v>
      </c>
      <c r="C45" t="s">
        <v>21</v>
      </c>
      <c r="D45" t="s">
        <v>20</v>
      </c>
      <c r="E45" t="s">
        <v>15</v>
      </c>
      <c r="F45">
        <v>113503.74</v>
      </c>
      <c r="G45" t="s">
        <v>23</v>
      </c>
      <c r="H45" s="3">
        <v>45852</v>
      </c>
      <c r="I45">
        <v>4.0399999999999998E-2</v>
      </c>
      <c r="J45">
        <v>93903.013005272805</v>
      </c>
      <c r="K45" t="s">
        <v>17</v>
      </c>
    </row>
    <row r="46" spans="1:11">
      <c r="A46" t="s">
        <v>19</v>
      </c>
      <c r="B46" t="s">
        <v>11</v>
      </c>
      <c r="C46" t="s">
        <v>21</v>
      </c>
      <c r="D46" t="s">
        <v>13</v>
      </c>
      <c r="E46" t="s">
        <v>22</v>
      </c>
      <c r="F46">
        <v>30235.41</v>
      </c>
      <c r="G46" t="s">
        <v>24</v>
      </c>
      <c r="H46" s="3">
        <v>45884</v>
      </c>
      <c r="I46">
        <v>0.12</v>
      </c>
      <c r="J46">
        <v>27776.988551715891</v>
      </c>
      <c r="K46" t="s">
        <v>17</v>
      </c>
    </row>
    <row r="47" spans="1:11">
      <c r="A47" t="s">
        <v>25</v>
      </c>
      <c r="B47" t="s">
        <v>11</v>
      </c>
      <c r="C47" t="s">
        <v>26</v>
      </c>
      <c r="D47" t="s">
        <v>13</v>
      </c>
      <c r="E47" t="s">
        <v>27</v>
      </c>
      <c r="F47">
        <v>181288.66</v>
      </c>
      <c r="G47" t="s">
        <v>23</v>
      </c>
      <c r="H47" s="3">
        <v>45866</v>
      </c>
      <c r="I47">
        <v>0.1411</v>
      </c>
      <c r="J47">
        <v>129567.3933585332</v>
      </c>
      <c r="K47" t="s">
        <v>17</v>
      </c>
    </row>
    <row r="48" spans="1:11">
      <c r="A48" t="s">
        <v>25</v>
      </c>
      <c r="B48" t="s">
        <v>18</v>
      </c>
      <c r="C48" t="s">
        <v>26</v>
      </c>
      <c r="D48" t="s">
        <v>20</v>
      </c>
      <c r="E48" t="s">
        <v>22</v>
      </c>
      <c r="F48">
        <v>160296.34</v>
      </c>
      <c r="G48" t="s">
        <v>23</v>
      </c>
      <c r="H48" s="3">
        <v>45673</v>
      </c>
      <c r="I48">
        <v>0.19220000000000001</v>
      </c>
      <c r="J48">
        <v>129334.2135447695</v>
      </c>
      <c r="K48" t="s">
        <v>17</v>
      </c>
    </row>
    <row r="49" spans="1:11">
      <c r="A49" t="s">
        <v>12</v>
      </c>
      <c r="B49" t="s">
        <v>25</v>
      </c>
      <c r="C49" t="s">
        <v>14</v>
      </c>
      <c r="D49" t="s">
        <v>26</v>
      </c>
      <c r="E49" t="s">
        <v>22</v>
      </c>
      <c r="F49">
        <v>35738.29</v>
      </c>
      <c r="G49" t="s">
        <v>24</v>
      </c>
      <c r="H49" s="3">
        <v>45758</v>
      </c>
      <c r="I49">
        <v>0.1986</v>
      </c>
      <c r="J49">
        <v>22624.491515046921</v>
      </c>
      <c r="K49" t="s">
        <v>17</v>
      </c>
    </row>
    <row r="50" spans="1:11">
      <c r="A50" t="s">
        <v>25</v>
      </c>
      <c r="B50" t="s">
        <v>18</v>
      </c>
      <c r="C50" t="s">
        <v>26</v>
      </c>
      <c r="D50" t="s">
        <v>20</v>
      </c>
      <c r="E50" t="s">
        <v>27</v>
      </c>
      <c r="F50">
        <v>55443.39</v>
      </c>
      <c r="G50" t="s">
        <v>24</v>
      </c>
      <c r="H50" s="3">
        <v>45783</v>
      </c>
      <c r="I50">
        <v>0.17130000000000001</v>
      </c>
      <c r="J50">
        <v>51875.27256803833</v>
      </c>
      <c r="K50" t="s">
        <v>17</v>
      </c>
    </row>
    <row r="51" spans="1:11">
      <c r="A51" t="s">
        <v>25</v>
      </c>
      <c r="B51" t="s">
        <v>11</v>
      </c>
      <c r="C51" t="s">
        <v>26</v>
      </c>
      <c r="D51" t="s">
        <v>13</v>
      </c>
      <c r="E51" t="s">
        <v>22</v>
      </c>
      <c r="F51">
        <v>83245.600000000006</v>
      </c>
      <c r="G51" t="s">
        <v>16</v>
      </c>
      <c r="H51" s="3">
        <v>45896</v>
      </c>
      <c r="I51">
        <v>0.18659999999999999</v>
      </c>
      <c r="J51">
        <v>77489.627667385124</v>
      </c>
      <c r="K51" t="s">
        <v>17</v>
      </c>
    </row>
    <row r="52" spans="1:11">
      <c r="A52" t="s">
        <v>12</v>
      </c>
      <c r="B52" t="s">
        <v>18</v>
      </c>
      <c r="C52" t="s">
        <v>14</v>
      </c>
      <c r="D52" t="s">
        <v>20</v>
      </c>
      <c r="E52" t="s">
        <v>27</v>
      </c>
      <c r="F52">
        <v>51248.79</v>
      </c>
      <c r="G52" t="s">
        <v>16</v>
      </c>
      <c r="H52" s="3">
        <v>46015</v>
      </c>
      <c r="I52">
        <v>0.16950000000000001</v>
      </c>
      <c r="J52">
        <v>39952.337070935042</v>
      </c>
      <c r="K52" t="s">
        <v>17</v>
      </c>
    </row>
    <row r="53" spans="1:11">
      <c r="A53" t="s">
        <v>19</v>
      </c>
      <c r="B53" t="s">
        <v>18</v>
      </c>
      <c r="C53" t="s">
        <v>21</v>
      </c>
      <c r="D53" t="s">
        <v>20</v>
      </c>
      <c r="E53" t="s">
        <v>27</v>
      </c>
      <c r="F53">
        <v>155362.35999999999</v>
      </c>
      <c r="G53" t="s">
        <v>24</v>
      </c>
      <c r="H53" s="3">
        <v>45912</v>
      </c>
      <c r="I53">
        <v>8.1500000000000003E-2</v>
      </c>
      <c r="J53">
        <v>146595.8660960276</v>
      </c>
      <c r="K53" t="s">
        <v>17</v>
      </c>
    </row>
    <row r="54" spans="1:11">
      <c r="A54" t="s">
        <v>18</v>
      </c>
      <c r="B54" t="s">
        <v>25</v>
      </c>
      <c r="C54" t="s">
        <v>20</v>
      </c>
      <c r="D54" t="s">
        <v>26</v>
      </c>
      <c r="E54" t="s">
        <v>27</v>
      </c>
      <c r="F54">
        <v>129804.71</v>
      </c>
      <c r="G54" t="s">
        <v>24</v>
      </c>
      <c r="H54" s="3">
        <v>45736</v>
      </c>
      <c r="I54">
        <v>7.9899999999999999E-2</v>
      </c>
      <c r="J54">
        <v>114311.5641238072</v>
      </c>
      <c r="K54" t="s">
        <v>17</v>
      </c>
    </row>
    <row r="55" spans="1:11">
      <c r="A55" t="s">
        <v>12</v>
      </c>
      <c r="B55" t="s">
        <v>25</v>
      </c>
      <c r="C55" t="s">
        <v>14</v>
      </c>
      <c r="D55" t="s">
        <v>26</v>
      </c>
      <c r="E55" t="s">
        <v>27</v>
      </c>
      <c r="F55">
        <v>113164.12</v>
      </c>
      <c r="G55" t="s">
        <v>23</v>
      </c>
      <c r="H55" s="3">
        <v>45844</v>
      </c>
      <c r="I55">
        <v>6.4500000000000002E-2</v>
      </c>
      <c r="J55">
        <v>84329.891390430712</v>
      </c>
    </row>
    <row r="56" spans="1:11">
      <c r="A56" t="s">
        <v>18</v>
      </c>
      <c r="B56" t="s">
        <v>11</v>
      </c>
      <c r="C56" t="s">
        <v>20</v>
      </c>
      <c r="D56" t="s">
        <v>13</v>
      </c>
      <c r="E56" t="s">
        <v>15</v>
      </c>
      <c r="F56">
        <v>72961.279999999999</v>
      </c>
      <c r="G56" t="s">
        <v>16</v>
      </c>
      <c r="H56" s="3">
        <v>45899</v>
      </c>
      <c r="J56">
        <v>68520.86354978579</v>
      </c>
      <c r="K56" t="s">
        <v>17</v>
      </c>
    </row>
    <row r="57" spans="1:11">
      <c r="A57" t="s">
        <v>12</v>
      </c>
      <c r="B57" t="s">
        <v>25</v>
      </c>
      <c r="C57" t="s">
        <v>14</v>
      </c>
      <c r="D57" t="s">
        <v>26</v>
      </c>
      <c r="E57" t="s">
        <v>22</v>
      </c>
      <c r="F57">
        <v>25651.7</v>
      </c>
      <c r="G57" t="s">
        <v>16</v>
      </c>
      <c r="H57" s="3">
        <v>45946</v>
      </c>
      <c r="I57">
        <v>0.19070000000000001</v>
      </c>
      <c r="J57">
        <v>21583.825011853231</v>
      </c>
    </row>
    <row r="58" spans="1:11">
      <c r="A58" t="s">
        <v>11</v>
      </c>
      <c r="B58" t="s">
        <v>19</v>
      </c>
      <c r="C58" t="s">
        <v>13</v>
      </c>
      <c r="D58" t="s">
        <v>21</v>
      </c>
      <c r="E58" t="s">
        <v>27</v>
      </c>
      <c r="F58">
        <v>78916.09</v>
      </c>
      <c r="G58" t="s">
        <v>23</v>
      </c>
      <c r="H58" s="3">
        <v>45804</v>
      </c>
      <c r="I58">
        <v>8.1100000000000005E-2</v>
      </c>
      <c r="J58">
        <v>53918.040214201908</v>
      </c>
      <c r="K58" t="s">
        <v>17</v>
      </c>
    </row>
    <row r="59" spans="1:11">
      <c r="A59" t="s">
        <v>12</v>
      </c>
      <c r="B59" t="s">
        <v>18</v>
      </c>
      <c r="C59" t="s">
        <v>14</v>
      </c>
      <c r="D59" t="s">
        <v>20</v>
      </c>
      <c r="E59" t="s">
        <v>22</v>
      </c>
      <c r="F59">
        <v>73614.759999999995</v>
      </c>
      <c r="G59" t="s">
        <v>24</v>
      </c>
      <c r="H59" s="3">
        <v>46004</v>
      </c>
      <c r="I59">
        <v>0.15029999999999999</v>
      </c>
      <c r="J59">
        <v>49360.993335713123</v>
      </c>
    </row>
    <row r="60" spans="1:11">
      <c r="A60" t="s">
        <v>12</v>
      </c>
      <c r="B60" t="s">
        <v>25</v>
      </c>
      <c r="C60" t="s">
        <v>14</v>
      </c>
      <c r="D60" t="s">
        <v>26</v>
      </c>
      <c r="E60" t="s">
        <v>22</v>
      </c>
      <c r="F60">
        <v>34021.71</v>
      </c>
      <c r="G60" t="s">
        <v>23</v>
      </c>
      <c r="H60" s="3">
        <v>46001</v>
      </c>
      <c r="I60">
        <v>3.5099999999999999E-2</v>
      </c>
      <c r="J60">
        <v>28856.372035879969</v>
      </c>
      <c r="K60" t="s">
        <v>17</v>
      </c>
    </row>
    <row r="61" spans="1:11">
      <c r="A61" t="s">
        <v>25</v>
      </c>
      <c r="B61" t="s">
        <v>12</v>
      </c>
      <c r="C61" t="s">
        <v>26</v>
      </c>
      <c r="D61" t="s">
        <v>14</v>
      </c>
      <c r="E61" t="s">
        <v>15</v>
      </c>
      <c r="F61">
        <v>30601.42</v>
      </c>
      <c r="G61" t="s">
        <v>23</v>
      </c>
      <c r="H61" s="3">
        <v>45726</v>
      </c>
      <c r="I61">
        <v>0.12479999999999999</v>
      </c>
      <c r="J61">
        <v>27950.87982751122</v>
      </c>
      <c r="K61" t="s">
        <v>17</v>
      </c>
    </row>
    <row r="62" spans="1:11">
      <c r="A62" t="s">
        <v>11</v>
      </c>
      <c r="B62" t="s">
        <v>18</v>
      </c>
      <c r="C62" t="s">
        <v>13</v>
      </c>
      <c r="D62" t="s">
        <v>20</v>
      </c>
      <c r="E62" t="s">
        <v>15</v>
      </c>
      <c r="F62">
        <v>55446.95</v>
      </c>
      <c r="G62" t="s">
        <v>24</v>
      </c>
      <c r="H62" s="3">
        <v>46002</v>
      </c>
      <c r="I62">
        <v>5.0999999999999997E-2</v>
      </c>
      <c r="J62">
        <v>52204.029214429298</v>
      </c>
      <c r="K62" t="s">
        <v>17</v>
      </c>
    </row>
    <row r="63" spans="1:11">
      <c r="A63" t="s">
        <v>11</v>
      </c>
      <c r="B63" t="s">
        <v>18</v>
      </c>
      <c r="C63" t="s">
        <v>13</v>
      </c>
      <c r="D63" t="s">
        <v>20</v>
      </c>
      <c r="E63" t="s">
        <v>27</v>
      </c>
      <c r="F63">
        <v>143178.72</v>
      </c>
      <c r="G63" t="s">
        <v>24</v>
      </c>
      <c r="H63" s="3">
        <v>45830</v>
      </c>
      <c r="J63">
        <v>87236.344796288904</v>
      </c>
      <c r="K63" t="s">
        <v>17</v>
      </c>
    </row>
    <row r="64" spans="1:11">
      <c r="A64" t="s">
        <v>18</v>
      </c>
      <c r="B64" t="s">
        <v>12</v>
      </c>
      <c r="C64" t="s">
        <v>20</v>
      </c>
      <c r="D64" t="s">
        <v>14</v>
      </c>
      <c r="E64" t="s">
        <v>27</v>
      </c>
      <c r="F64">
        <v>91996.42</v>
      </c>
      <c r="G64" t="s">
        <v>24</v>
      </c>
      <c r="H64" s="3">
        <v>45776</v>
      </c>
      <c r="I64">
        <v>2.9899999999999999E-2</v>
      </c>
      <c r="J64">
        <v>79028.064982689772</v>
      </c>
      <c r="K64" t="s">
        <v>17</v>
      </c>
    </row>
    <row r="65" spans="1:11">
      <c r="A65" t="s">
        <v>19</v>
      </c>
      <c r="B65" t="s">
        <v>12</v>
      </c>
      <c r="C65" t="s">
        <v>21</v>
      </c>
      <c r="D65" t="s">
        <v>14</v>
      </c>
      <c r="E65" t="s">
        <v>15</v>
      </c>
      <c r="F65">
        <v>71631.13</v>
      </c>
      <c r="G65" t="s">
        <v>16</v>
      </c>
      <c r="H65" s="3">
        <v>45924</v>
      </c>
      <c r="J65">
        <v>56609.173673167548</v>
      </c>
    </row>
    <row r="66" spans="1:11">
      <c r="A66" t="s">
        <v>12</v>
      </c>
      <c r="B66" t="s">
        <v>25</v>
      </c>
      <c r="C66" t="s">
        <v>14</v>
      </c>
      <c r="D66" t="s">
        <v>26</v>
      </c>
      <c r="E66" t="s">
        <v>15</v>
      </c>
      <c r="F66">
        <v>108454.76</v>
      </c>
      <c r="G66" t="s">
        <v>23</v>
      </c>
      <c r="H66" s="3">
        <v>45774</v>
      </c>
      <c r="I66">
        <v>0.1852</v>
      </c>
      <c r="J66">
        <v>80482.087986019513</v>
      </c>
    </row>
    <row r="67" spans="1:11">
      <c r="A67" t="s">
        <v>19</v>
      </c>
      <c r="B67" t="s">
        <v>11</v>
      </c>
      <c r="C67" t="s">
        <v>21</v>
      </c>
      <c r="D67" t="s">
        <v>13</v>
      </c>
      <c r="E67" t="s">
        <v>27</v>
      </c>
      <c r="F67">
        <v>27562.13</v>
      </c>
      <c r="G67" t="s">
        <v>16</v>
      </c>
      <c r="H67" s="3">
        <v>45750</v>
      </c>
      <c r="I67">
        <v>0.1197</v>
      </c>
      <c r="J67">
        <v>23019.477522235618</v>
      </c>
      <c r="K67" t="s">
        <v>17</v>
      </c>
    </row>
    <row r="68" spans="1:11">
      <c r="A68" t="s">
        <v>11</v>
      </c>
      <c r="B68" t="s">
        <v>18</v>
      </c>
      <c r="C68" t="s">
        <v>13</v>
      </c>
      <c r="D68" t="s">
        <v>20</v>
      </c>
      <c r="E68" t="s">
        <v>22</v>
      </c>
      <c r="F68">
        <v>167594.56</v>
      </c>
      <c r="G68" t="s">
        <v>23</v>
      </c>
      <c r="H68" s="3">
        <v>45753</v>
      </c>
      <c r="I68">
        <v>0.18379999999999999</v>
      </c>
      <c r="J68">
        <v>126405.3699891414</v>
      </c>
      <c r="K68" t="s">
        <v>17</v>
      </c>
    </row>
    <row r="69" spans="1:11">
      <c r="A69" t="s">
        <v>18</v>
      </c>
      <c r="B69" t="s">
        <v>19</v>
      </c>
      <c r="C69" t="s">
        <v>20</v>
      </c>
      <c r="D69" t="s">
        <v>21</v>
      </c>
      <c r="E69" t="s">
        <v>27</v>
      </c>
      <c r="F69">
        <v>23962.37</v>
      </c>
      <c r="G69" t="s">
        <v>23</v>
      </c>
      <c r="H69" s="3">
        <v>45950</v>
      </c>
      <c r="I69">
        <v>9.4E-2</v>
      </c>
      <c r="J69">
        <v>20197.516098939981</v>
      </c>
      <c r="K69" t="s">
        <v>17</v>
      </c>
    </row>
    <row r="70" spans="1:11">
      <c r="A70" t="s">
        <v>11</v>
      </c>
      <c r="B70" t="s">
        <v>19</v>
      </c>
      <c r="C70" t="s">
        <v>13</v>
      </c>
      <c r="D70" t="s">
        <v>21</v>
      </c>
      <c r="E70" t="s">
        <v>22</v>
      </c>
      <c r="F70">
        <v>177957.35</v>
      </c>
      <c r="G70" t="s">
        <v>16</v>
      </c>
      <c r="H70" s="3">
        <v>45658</v>
      </c>
      <c r="I70">
        <v>0.12759999999999999</v>
      </c>
      <c r="J70">
        <v>167849.91466271551</v>
      </c>
      <c r="K70" t="s">
        <v>17</v>
      </c>
    </row>
    <row r="71" spans="1:11">
      <c r="A71" t="s">
        <v>25</v>
      </c>
      <c r="B71" t="s">
        <v>18</v>
      </c>
      <c r="C71" t="s">
        <v>26</v>
      </c>
      <c r="D71" t="s">
        <v>20</v>
      </c>
      <c r="E71" t="s">
        <v>15</v>
      </c>
      <c r="F71">
        <v>166829.99</v>
      </c>
      <c r="G71" t="s">
        <v>16</v>
      </c>
      <c r="H71" s="3">
        <v>45706</v>
      </c>
      <c r="J71">
        <v>102202.02649044451</v>
      </c>
      <c r="K71" t="s">
        <v>17</v>
      </c>
    </row>
    <row r="72" spans="1:11">
      <c r="A72" t="s">
        <v>19</v>
      </c>
      <c r="B72" t="s">
        <v>25</v>
      </c>
      <c r="C72" t="s">
        <v>21</v>
      </c>
      <c r="D72" t="s">
        <v>26</v>
      </c>
      <c r="E72" t="s">
        <v>22</v>
      </c>
      <c r="F72">
        <v>36291.19</v>
      </c>
      <c r="G72" t="s">
        <v>23</v>
      </c>
      <c r="H72" s="3">
        <v>45976</v>
      </c>
      <c r="I72">
        <v>0.1784</v>
      </c>
      <c r="J72">
        <v>33306.473991876519</v>
      </c>
      <c r="K72" t="s">
        <v>17</v>
      </c>
    </row>
    <row r="73" spans="1:11">
      <c r="A73" t="s">
        <v>25</v>
      </c>
      <c r="B73" t="s">
        <v>12</v>
      </c>
      <c r="C73" t="s">
        <v>26</v>
      </c>
      <c r="D73" t="s">
        <v>14</v>
      </c>
      <c r="E73" t="s">
        <v>27</v>
      </c>
      <c r="F73">
        <v>176306.06</v>
      </c>
      <c r="G73" t="s">
        <v>16</v>
      </c>
      <c r="H73" s="3">
        <v>45944</v>
      </c>
      <c r="I73">
        <v>9.2499999999999999E-2</v>
      </c>
      <c r="J73">
        <v>135074.03097220071</v>
      </c>
    </row>
    <row r="74" spans="1:11">
      <c r="A74" t="s">
        <v>19</v>
      </c>
      <c r="B74" t="s">
        <v>11</v>
      </c>
      <c r="C74" t="s">
        <v>21</v>
      </c>
      <c r="D74" t="s">
        <v>13</v>
      </c>
      <c r="E74" t="s">
        <v>15</v>
      </c>
      <c r="F74">
        <v>67510.240000000005</v>
      </c>
      <c r="G74" t="s">
        <v>16</v>
      </c>
      <c r="H74" s="3">
        <v>46010</v>
      </c>
      <c r="I74">
        <v>1.06E-2</v>
      </c>
      <c r="J74">
        <v>55842.945954177732</v>
      </c>
    </row>
    <row r="75" spans="1:11">
      <c r="A75" t="s">
        <v>11</v>
      </c>
      <c r="B75" t="s">
        <v>18</v>
      </c>
      <c r="C75" t="s">
        <v>13</v>
      </c>
      <c r="D75" t="s">
        <v>20</v>
      </c>
      <c r="E75" t="s">
        <v>15</v>
      </c>
      <c r="F75">
        <v>137667.99</v>
      </c>
      <c r="G75" t="s">
        <v>24</v>
      </c>
      <c r="H75" s="3">
        <v>45913</v>
      </c>
      <c r="I75">
        <v>2.1999999999999999E-2</v>
      </c>
      <c r="J75">
        <v>105615.6158935339</v>
      </c>
      <c r="K75" t="s">
        <v>17</v>
      </c>
    </row>
    <row r="76" spans="1:11">
      <c r="A76" t="s">
        <v>11</v>
      </c>
      <c r="B76" t="s">
        <v>25</v>
      </c>
      <c r="C76" t="s">
        <v>13</v>
      </c>
      <c r="D76" t="s">
        <v>26</v>
      </c>
      <c r="E76" t="s">
        <v>27</v>
      </c>
      <c r="F76">
        <v>120455.73</v>
      </c>
      <c r="G76" t="s">
        <v>23</v>
      </c>
      <c r="H76" s="3">
        <v>45837</v>
      </c>
      <c r="I76">
        <v>9.1999999999999998E-2</v>
      </c>
      <c r="J76">
        <v>87219.23792292962</v>
      </c>
      <c r="K76" t="s">
        <v>17</v>
      </c>
    </row>
    <row r="77" spans="1:11">
      <c r="A77" t="s">
        <v>25</v>
      </c>
      <c r="B77" t="s">
        <v>12</v>
      </c>
      <c r="C77" t="s">
        <v>26</v>
      </c>
      <c r="D77" t="s">
        <v>14</v>
      </c>
      <c r="E77" t="s">
        <v>15</v>
      </c>
      <c r="F77">
        <v>82465.070000000007</v>
      </c>
      <c r="G77" t="s">
        <v>24</v>
      </c>
      <c r="H77" s="3">
        <v>45815</v>
      </c>
      <c r="I77">
        <v>0.19989999999999999</v>
      </c>
      <c r="J77">
        <v>70300.839980124481</v>
      </c>
      <c r="K77" t="s">
        <v>17</v>
      </c>
    </row>
    <row r="78" spans="1:11">
      <c r="A78" t="s">
        <v>18</v>
      </c>
      <c r="B78" t="s">
        <v>19</v>
      </c>
      <c r="C78" t="s">
        <v>20</v>
      </c>
      <c r="D78" t="s">
        <v>21</v>
      </c>
      <c r="E78" t="s">
        <v>15</v>
      </c>
      <c r="F78">
        <v>58084.73</v>
      </c>
      <c r="G78" t="s">
        <v>23</v>
      </c>
      <c r="H78" s="3">
        <v>45701</v>
      </c>
      <c r="I78">
        <v>2.5600000000000001E-2</v>
      </c>
      <c r="J78">
        <v>35291.762284640623</v>
      </c>
    </row>
    <row r="79" spans="1:11">
      <c r="A79" t="s">
        <v>12</v>
      </c>
      <c r="B79" t="s">
        <v>11</v>
      </c>
      <c r="C79" t="s">
        <v>14</v>
      </c>
      <c r="D79" t="s">
        <v>13</v>
      </c>
      <c r="E79" t="s">
        <v>27</v>
      </c>
      <c r="F79">
        <v>25865.81</v>
      </c>
      <c r="G79" t="s">
        <v>24</v>
      </c>
      <c r="H79" s="3">
        <v>45897</v>
      </c>
      <c r="I79">
        <v>0.122</v>
      </c>
      <c r="J79">
        <v>23197.819806318988</v>
      </c>
      <c r="K79" t="s">
        <v>17</v>
      </c>
    </row>
    <row r="80" spans="1:11">
      <c r="A80" t="s">
        <v>11</v>
      </c>
      <c r="B80" t="s">
        <v>25</v>
      </c>
      <c r="C80" t="s">
        <v>13</v>
      </c>
      <c r="D80" t="s">
        <v>26</v>
      </c>
      <c r="E80" t="s">
        <v>15</v>
      </c>
      <c r="F80">
        <v>33822.69</v>
      </c>
      <c r="G80" t="s">
        <v>23</v>
      </c>
      <c r="H80" s="3">
        <v>45775</v>
      </c>
      <c r="I80">
        <v>0.1401</v>
      </c>
      <c r="J80">
        <v>30498.66057902473</v>
      </c>
      <c r="K80" t="s">
        <v>17</v>
      </c>
    </row>
    <row r="81" spans="1:11">
      <c r="A81" t="s">
        <v>12</v>
      </c>
      <c r="B81" t="s">
        <v>18</v>
      </c>
      <c r="C81" t="s">
        <v>14</v>
      </c>
      <c r="D81" t="s">
        <v>20</v>
      </c>
      <c r="E81" t="s">
        <v>15</v>
      </c>
      <c r="F81">
        <v>179833.34</v>
      </c>
      <c r="G81" t="s">
        <v>16</v>
      </c>
      <c r="H81" s="3">
        <v>45997</v>
      </c>
      <c r="I81">
        <v>6.1499999999999999E-2</v>
      </c>
      <c r="J81">
        <v>138096.51329941349</v>
      </c>
    </row>
    <row r="82" spans="1:11">
      <c r="A82" t="s">
        <v>12</v>
      </c>
      <c r="B82" t="s">
        <v>25</v>
      </c>
      <c r="C82" t="s">
        <v>14</v>
      </c>
      <c r="D82" t="s">
        <v>26</v>
      </c>
      <c r="E82" t="s">
        <v>27</v>
      </c>
      <c r="F82">
        <v>113164.12</v>
      </c>
      <c r="G82" t="s">
        <v>23</v>
      </c>
      <c r="H82" s="3">
        <v>45844</v>
      </c>
      <c r="I82">
        <v>6.4500000000000002E-2</v>
      </c>
      <c r="J82">
        <v>84329.891390430712</v>
      </c>
    </row>
    <row r="83" spans="1:11">
      <c r="A83" t="s">
        <v>19</v>
      </c>
      <c r="B83" t="s">
        <v>11</v>
      </c>
      <c r="C83" t="s">
        <v>21</v>
      </c>
      <c r="D83" t="s">
        <v>13</v>
      </c>
      <c r="E83" t="s">
        <v>15</v>
      </c>
      <c r="F83">
        <v>67510.240000000005</v>
      </c>
      <c r="G83" t="s">
        <v>16</v>
      </c>
      <c r="H83" s="3">
        <v>46010</v>
      </c>
      <c r="I83">
        <v>1.06E-2</v>
      </c>
      <c r="J83">
        <v>55842.945954177732</v>
      </c>
    </row>
    <row r="84" spans="1:11">
      <c r="A84" t="s">
        <v>19</v>
      </c>
      <c r="B84" t="s">
        <v>12</v>
      </c>
      <c r="C84" t="s">
        <v>21</v>
      </c>
      <c r="D84" t="s">
        <v>14</v>
      </c>
      <c r="E84" t="s">
        <v>15</v>
      </c>
      <c r="F84">
        <v>71631.13</v>
      </c>
      <c r="G84" t="s">
        <v>16</v>
      </c>
      <c r="H84" s="3">
        <v>45924</v>
      </c>
      <c r="J84">
        <v>56609.173673167548</v>
      </c>
    </row>
    <row r="85" spans="1:11">
      <c r="A85" t="s">
        <v>25</v>
      </c>
      <c r="B85" t="s">
        <v>12</v>
      </c>
      <c r="C85" t="s">
        <v>26</v>
      </c>
      <c r="D85" t="s">
        <v>14</v>
      </c>
      <c r="E85" t="s">
        <v>27</v>
      </c>
      <c r="F85">
        <v>115211.83</v>
      </c>
      <c r="G85" t="s">
        <v>23</v>
      </c>
      <c r="H85" s="3">
        <v>45716</v>
      </c>
      <c r="I85">
        <v>0.1744</v>
      </c>
      <c r="J85">
        <v>106093.1631974558</v>
      </c>
      <c r="K85" t="s">
        <v>17</v>
      </c>
    </row>
    <row r="86" spans="1:11">
      <c r="A86" t="s">
        <v>25</v>
      </c>
      <c r="B86" t="s">
        <v>11</v>
      </c>
      <c r="C86" t="s">
        <v>26</v>
      </c>
      <c r="D86" t="s">
        <v>13</v>
      </c>
      <c r="E86" t="s">
        <v>27</v>
      </c>
      <c r="F86">
        <v>29342.45</v>
      </c>
      <c r="G86" t="s">
        <v>24</v>
      </c>
      <c r="H86" s="3">
        <v>45984</v>
      </c>
      <c r="I86">
        <v>0.1472</v>
      </c>
      <c r="J86">
        <v>25276.994400169671</v>
      </c>
      <c r="K86" t="s">
        <v>17</v>
      </c>
    </row>
    <row r="87" spans="1:11">
      <c r="A87" t="s">
        <v>12</v>
      </c>
      <c r="B87" t="s">
        <v>11</v>
      </c>
      <c r="C87" t="s">
        <v>14</v>
      </c>
      <c r="D87" t="s">
        <v>13</v>
      </c>
      <c r="E87" t="s">
        <v>15</v>
      </c>
      <c r="F87">
        <v>63954.85</v>
      </c>
      <c r="G87" t="s">
        <v>23</v>
      </c>
      <c r="H87" s="3">
        <v>45895</v>
      </c>
      <c r="I87">
        <v>3.7900000000000003E-2</v>
      </c>
      <c r="K87" t="s">
        <v>28</v>
      </c>
    </row>
    <row r="88" spans="1:11">
      <c r="A88" t="s">
        <v>25</v>
      </c>
      <c r="B88" t="s">
        <v>19</v>
      </c>
      <c r="C88" t="s">
        <v>26</v>
      </c>
      <c r="D88" t="s">
        <v>21</v>
      </c>
      <c r="E88" t="s">
        <v>22</v>
      </c>
      <c r="F88">
        <v>170030.63</v>
      </c>
      <c r="G88" t="s">
        <v>24</v>
      </c>
      <c r="H88" s="3">
        <v>45708</v>
      </c>
      <c r="I88">
        <v>6.9500000000000006E-2</v>
      </c>
      <c r="J88">
        <v>115680.6833994444</v>
      </c>
      <c r="K88" t="s">
        <v>28</v>
      </c>
    </row>
    <row r="89" spans="1:11">
      <c r="A89" t="s">
        <v>25</v>
      </c>
      <c r="B89" t="s">
        <v>12</v>
      </c>
      <c r="C89" t="s">
        <v>26</v>
      </c>
      <c r="D89" t="s">
        <v>14</v>
      </c>
      <c r="E89" t="s">
        <v>22</v>
      </c>
      <c r="F89">
        <v>32375.45</v>
      </c>
      <c r="G89" t="s">
        <v>23</v>
      </c>
      <c r="H89" s="3">
        <v>45680</v>
      </c>
      <c r="J89">
        <v>22976.807083074978</v>
      </c>
      <c r="K89" t="s">
        <v>28</v>
      </c>
    </row>
    <row r="90" spans="1:11">
      <c r="A90" t="s">
        <v>18</v>
      </c>
      <c r="B90" t="s">
        <v>19</v>
      </c>
      <c r="C90" t="s">
        <v>20</v>
      </c>
      <c r="D90" t="s">
        <v>21</v>
      </c>
      <c r="E90" t="s">
        <v>15</v>
      </c>
      <c r="F90">
        <v>166683.65</v>
      </c>
      <c r="G90" t="s">
        <v>16</v>
      </c>
      <c r="H90" s="3">
        <v>45688</v>
      </c>
      <c r="I90">
        <v>0.1676</v>
      </c>
      <c r="K90" t="s">
        <v>28</v>
      </c>
    </row>
    <row r="91" spans="1:11">
      <c r="A91" t="s">
        <v>12</v>
      </c>
      <c r="B91" t="s">
        <v>19</v>
      </c>
      <c r="C91" t="s">
        <v>14</v>
      </c>
      <c r="D91" t="s">
        <v>21</v>
      </c>
      <c r="E91" t="s">
        <v>22</v>
      </c>
      <c r="F91">
        <v>108967.23</v>
      </c>
      <c r="G91" t="s">
        <v>23</v>
      </c>
      <c r="H91" s="3">
        <v>45767</v>
      </c>
      <c r="I91">
        <v>0.14149999999999999</v>
      </c>
      <c r="J91">
        <v>97211.734643740943</v>
      </c>
      <c r="K91" t="s">
        <v>28</v>
      </c>
    </row>
    <row r="92" spans="1:11">
      <c r="A92" t="s">
        <v>12</v>
      </c>
      <c r="B92" t="s">
        <v>18</v>
      </c>
      <c r="C92" t="s">
        <v>14</v>
      </c>
      <c r="D92" t="s">
        <v>20</v>
      </c>
      <c r="E92" t="s">
        <v>27</v>
      </c>
      <c r="F92">
        <v>150892.29999999999</v>
      </c>
      <c r="G92" t="s">
        <v>16</v>
      </c>
      <c r="H92" s="3">
        <v>45762</v>
      </c>
      <c r="K92" t="s">
        <v>28</v>
      </c>
    </row>
    <row r="93" spans="1:11">
      <c r="A93" t="s">
        <v>18</v>
      </c>
      <c r="B93" t="s">
        <v>25</v>
      </c>
      <c r="C93" t="s">
        <v>20</v>
      </c>
      <c r="D93" t="s">
        <v>26</v>
      </c>
      <c r="E93" t="s">
        <v>27</v>
      </c>
      <c r="F93">
        <v>30355.57</v>
      </c>
      <c r="G93" t="s">
        <v>23</v>
      </c>
      <c r="H93" s="3">
        <v>45937</v>
      </c>
      <c r="I93">
        <v>1.37E-2</v>
      </c>
      <c r="J93">
        <v>21034.62907239392</v>
      </c>
      <c r="K93" t="s">
        <v>28</v>
      </c>
    </row>
    <row r="94" spans="1:11">
      <c r="A94" t="s">
        <v>18</v>
      </c>
      <c r="B94" t="s">
        <v>25</v>
      </c>
      <c r="C94" t="s">
        <v>20</v>
      </c>
      <c r="D94" t="s">
        <v>26</v>
      </c>
      <c r="E94" t="s">
        <v>15</v>
      </c>
      <c r="F94">
        <v>55890.9</v>
      </c>
      <c r="G94" t="s">
        <v>24</v>
      </c>
      <c r="H94" s="3">
        <v>45911</v>
      </c>
      <c r="I94">
        <v>5.3900000000000003E-2</v>
      </c>
      <c r="J94">
        <v>43179.680552897509</v>
      </c>
      <c r="K94" t="s">
        <v>28</v>
      </c>
    </row>
    <row r="95" spans="1:11">
      <c r="A95" t="s">
        <v>25</v>
      </c>
      <c r="B95" t="s">
        <v>18</v>
      </c>
      <c r="C95" t="s">
        <v>26</v>
      </c>
      <c r="D95" t="s">
        <v>20</v>
      </c>
      <c r="E95" t="s">
        <v>27</v>
      </c>
      <c r="F95">
        <v>189195.98</v>
      </c>
      <c r="G95" t="s">
        <v>24</v>
      </c>
      <c r="H95" s="3">
        <v>45990</v>
      </c>
      <c r="K95" t="s">
        <v>28</v>
      </c>
    </row>
    <row r="96" spans="1:11">
      <c r="A96" t="s">
        <v>12</v>
      </c>
      <c r="B96" t="s">
        <v>11</v>
      </c>
      <c r="C96" t="s">
        <v>14</v>
      </c>
      <c r="D96" t="s">
        <v>13</v>
      </c>
      <c r="E96" t="s">
        <v>27</v>
      </c>
      <c r="F96">
        <v>109992.82</v>
      </c>
      <c r="G96" t="s">
        <v>16</v>
      </c>
      <c r="H96" s="3">
        <v>45668</v>
      </c>
      <c r="I96">
        <v>0.13389999999999999</v>
      </c>
      <c r="J96">
        <v>90550.793753213104</v>
      </c>
      <c r="K96" t="s">
        <v>28</v>
      </c>
    </row>
    <row r="97" spans="1:11">
      <c r="A97" t="s">
        <v>25</v>
      </c>
      <c r="B97" t="s">
        <v>18</v>
      </c>
      <c r="C97" t="s">
        <v>26</v>
      </c>
      <c r="D97" t="s">
        <v>20</v>
      </c>
      <c r="E97" t="s">
        <v>22</v>
      </c>
      <c r="F97">
        <v>73035.179999999993</v>
      </c>
      <c r="G97" t="s">
        <v>16</v>
      </c>
      <c r="H97" s="3">
        <v>45996</v>
      </c>
      <c r="J97">
        <v>68484.651280141785</v>
      </c>
      <c r="K97" t="s">
        <v>28</v>
      </c>
    </row>
    <row r="98" spans="1:11">
      <c r="A98" t="s">
        <v>12</v>
      </c>
      <c r="B98" t="s">
        <v>18</v>
      </c>
      <c r="C98" t="s">
        <v>14</v>
      </c>
      <c r="D98" t="s">
        <v>20</v>
      </c>
      <c r="E98" t="s">
        <v>27</v>
      </c>
      <c r="F98">
        <v>158455.54</v>
      </c>
      <c r="G98" t="s">
        <v>16</v>
      </c>
      <c r="H98" s="3">
        <v>45852</v>
      </c>
      <c r="I98">
        <v>2.2200000000000001E-2</v>
      </c>
      <c r="J98">
        <v>116137.0012145481</v>
      </c>
      <c r="K98" t="s">
        <v>28</v>
      </c>
    </row>
    <row r="99" spans="1:11">
      <c r="A99" t="s">
        <v>11</v>
      </c>
      <c r="B99" t="s">
        <v>12</v>
      </c>
      <c r="C99" t="s">
        <v>13</v>
      </c>
      <c r="D99" t="s">
        <v>14</v>
      </c>
      <c r="E99" t="s">
        <v>22</v>
      </c>
      <c r="F99">
        <v>34821.32</v>
      </c>
      <c r="G99" t="s">
        <v>23</v>
      </c>
      <c r="H99" s="3">
        <v>45839</v>
      </c>
      <c r="I99">
        <v>0.11990000000000001</v>
      </c>
      <c r="J99">
        <v>26628.708959035059</v>
      </c>
      <c r="K99" t="s">
        <v>28</v>
      </c>
    </row>
    <row r="100" spans="1:11">
      <c r="A100" t="s">
        <v>25</v>
      </c>
      <c r="B100" t="s">
        <v>19</v>
      </c>
      <c r="C100" t="s">
        <v>26</v>
      </c>
      <c r="D100" t="s">
        <v>21</v>
      </c>
      <c r="E100" t="s">
        <v>15</v>
      </c>
      <c r="F100">
        <v>167180.04999999999</v>
      </c>
      <c r="G100" t="s">
        <v>23</v>
      </c>
      <c r="H100" s="3">
        <v>45799</v>
      </c>
      <c r="I100">
        <v>0.1148</v>
      </c>
      <c r="J100">
        <v>143769.44150127051</v>
      </c>
      <c r="K100" t="s">
        <v>28</v>
      </c>
    </row>
    <row r="101" spans="1:11">
      <c r="A101" t="s">
        <v>25</v>
      </c>
      <c r="B101" t="s">
        <v>11</v>
      </c>
      <c r="C101" t="s">
        <v>26</v>
      </c>
      <c r="D101" t="s">
        <v>13</v>
      </c>
      <c r="E101" t="s">
        <v>27</v>
      </c>
      <c r="F101">
        <v>104108.27</v>
      </c>
      <c r="G101" t="s">
        <v>23</v>
      </c>
      <c r="H101" s="3">
        <v>46015</v>
      </c>
      <c r="I101">
        <v>4.9599999999999998E-2</v>
      </c>
      <c r="J101">
        <v>68742.422423186727</v>
      </c>
      <c r="K101" t="s">
        <v>28</v>
      </c>
    </row>
    <row r="102" spans="1:11">
      <c r="A102" t="s">
        <v>11</v>
      </c>
      <c r="B102" t="s">
        <v>19</v>
      </c>
      <c r="C102" t="s">
        <v>13</v>
      </c>
      <c r="D102" t="s">
        <v>21</v>
      </c>
      <c r="E102" t="s">
        <v>15</v>
      </c>
      <c r="F102">
        <v>24916.37</v>
      </c>
      <c r="G102" t="s">
        <v>23</v>
      </c>
      <c r="H102" s="3">
        <v>45892</v>
      </c>
      <c r="I102">
        <v>6.4899999999999999E-2</v>
      </c>
      <c r="J102">
        <v>17376.965302785458</v>
      </c>
      <c r="K102" t="s">
        <v>28</v>
      </c>
    </row>
    <row r="103" spans="1:11">
      <c r="A103" t="s">
        <v>12</v>
      </c>
      <c r="B103" t="s">
        <v>11</v>
      </c>
      <c r="C103" t="s">
        <v>14</v>
      </c>
      <c r="D103" t="s">
        <v>13</v>
      </c>
      <c r="E103" t="s">
        <v>27</v>
      </c>
      <c r="F103">
        <v>114400.89</v>
      </c>
      <c r="G103" t="s">
        <v>24</v>
      </c>
      <c r="H103" s="3">
        <v>45741</v>
      </c>
      <c r="J103">
        <v>100957.2774458443</v>
      </c>
      <c r="K103" t="s">
        <v>28</v>
      </c>
    </row>
    <row r="104" spans="1:11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>
        <v>113466.85</v>
      </c>
      <c r="G104" t="s">
        <v>23</v>
      </c>
      <c r="H104" s="3">
        <v>45767</v>
      </c>
      <c r="I104">
        <v>3.5900000000000001E-2</v>
      </c>
      <c r="K104" t="s">
        <v>28</v>
      </c>
    </row>
    <row r="105" spans="1:11">
      <c r="A105" t="s">
        <v>12</v>
      </c>
      <c r="B105" t="s">
        <v>11</v>
      </c>
      <c r="C105" t="s">
        <v>14</v>
      </c>
      <c r="D105" t="s">
        <v>13</v>
      </c>
      <c r="E105" t="s">
        <v>15</v>
      </c>
      <c r="F105">
        <v>125184.14</v>
      </c>
      <c r="G105" t="s">
        <v>16</v>
      </c>
      <c r="H105" s="3">
        <v>45771</v>
      </c>
      <c r="I105">
        <v>1.6799999999999999E-2</v>
      </c>
      <c r="K105" t="s">
        <v>28</v>
      </c>
    </row>
    <row r="106" spans="1:11">
      <c r="A106" t="s">
        <v>19</v>
      </c>
      <c r="B106" t="s">
        <v>11</v>
      </c>
      <c r="C106" t="s">
        <v>21</v>
      </c>
      <c r="D106" t="s">
        <v>13</v>
      </c>
      <c r="E106" t="s">
        <v>15</v>
      </c>
      <c r="F106">
        <v>19423.95</v>
      </c>
      <c r="G106" t="s">
        <v>24</v>
      </c>
      <c r="H106" s="3">
        <v>45711</v>
      </c>
      <c r="I106">
        <v>3.8899999999999997E-2</v>
      </c>
      <c r="J106">
        <v>14177.480217412391</v>
      </c>
      <c r="K106" t="s">
        <v>28</v>
      </c>
    </row>
    <row r="107" spans="1:11">
      <c r="A107" t="s">
        <v>25</v>
      </c>
      <c r="B107" t="s">
        <v>12</v>
      </c>
      <c r="C107" t="s">
        <v>26</v>
      </c>
      <c r="D107" t="s">
        <v>14</v>
      </c>
      <c r="E107" t="s">
        <v>27</v>
      </c>
      <c r="F107">
        <v>125891.37</v>
      </c>
      <c r="G107" t="s">
        <v>16</v>
      </c>
      <c r="H107" s="3">
        <v>45824</v>
      </c>
      <c r="I107">
        <v>0.16750000000000001</v>
      </c>
      <c r="K107" t="s">
        <v>28</v>
      </c>
    </row>
    <row r="108" spans="1:11">
      <c r="A108" t="s">
        <v>18</v>
      </c>
      <c r="B108" t="s">
        <v>25</v>
      </c>
      <c r="C108" t="s">
        <v>20</v>
      </c>
      <c r="D108" t="s">
        <v>26</v>
      </c>
      <c r="E108" t="s">
        <v>15</v>
      </c>
      <c r="F108">
        <v>197780.15</v>
      </c>
      <c r="G108" t="s">
        <v>24</v>
      </c>
      <c r="H108" s="3">
        <v>45864</v>
      </c>
      <c r="I108">
        <v>0.1202</v>
      </c>
      <c r="J108">
        <v>170262.4144406984</v>
      </c>
      <c r="K108" t="s">
        <v>28</v>
      </c>
    </row>
    <row r="109" spans="1:11">
      <c r="A109" t="s">
        <v>18</v>
      </c>
      <c r="B109" t="s">
        <v>25</v>
      </c>
      <c r="C109" t="s">
        <v>20</v>
      </c>
      <c r="D109" t="s">
        <v>26</v>
      </c>
      <c r="E109" t="s">
        <v>22</v>
      </c>
      <c r="F109">
        <v>77166.42</v>
      </c>
      <c r="G109" t="s">
        <v>16</v>
      </c>
      <c r="H109" s="3">
        <v>45836</v>
      </c>
      <c r="I109">
        <v>0.12959999999999999</v>
      </c>
      <c r="J109">
        <v>48096.885722922823</v>
      </c>
      <c r="K109" t="s">
        <v>28</v>
      </c>
    </row>
    <row r="110" spans="1:11">
      <c r="A110" t="s">
        <v>25</v>
      </c>
      <c r="B110" t="s">
        <v>18</v>
      </c>
      <c r="C110" t="s">
        <v>26</v>
      </c>
      <c r="D110" t="s">
        <v>20</v>
      </c>
      <c r="E110" t="s">
        <v>27</v>
      </c>
      <c r="F110">
        <v>129694.87</v>
      </c>
      <c r="G110" t="s">
        <v>16</v>
      </c>
      <c r="H110" s="3">
        <v>45781</v>
      </c>
      <c r="J110">
        <v>80811.107278462936</v>
      </c>
      <c r="K110" t="s">
        <v>28</v>
      </c>
    </row>
    <row r="111" spans="1:11">
      <c r="A111" t="s">
        <v>25</v>
      </c>
      <c r="B111" t="s">
        <v>12</v>
      </c>
      <c r="C111" t="s">
        <v>26</v>
      </c>
      <c r="D111" t="s">
        <v>14</v>
      </c>
      <c r="E111" t="s">
        <v>27</v>
      </c>
      <c r="F111">
        <v>186734.55</v>
      </c>
      <c r="G111" t="s">
        <v>23</v>
      </c>
      <c r="H111" s="3">
        <v>45672</v>
      </c>
      <c r="I111">
        <v>1.2699999999999999E-2</v>
      </c>
      <c r="J111">
        <v>174065.67745519019</v>
      </c>
      <c r="K111" t="s">
        <v>28</v>
      </c>
    </row>
    <row r="112" spans="1:11">
      <c r="A112" t="s">
        <v>18</v>
      </c>
      <c r="B112" t="s">
        <v>19</v>
      </c>
      <c r="C112" t="s">
        <v>20</v>
      </c>
      <c r="D112" t="s">
        <v>21</v>
      </c>
      <c r="E112" t="s">
        <v>15</v>
      </c>
      <c r="F112">
        <v>81051.5</v>
      </c>
      <c r="G112" t="s">
        <v>23</v>
      </c>
      <c r="H112" s="3">
        <v>45990</v>
      </c>
      <c r="I112">
        <v>0.1023</v>
      </c>
      <c r="J112">
        <v>74904.837867344337</v>
      </c>
      <c r="K112" t="s">
        <v>28</v>
      </c>
    </row>
    <row r="113" spans="1:11">
      <c r="A113" t="s">
        <v>25</v>
      </c>
      <c r="B113" t="s">
        <v>11</v>
      </c>
      <c r="C113" t="s">
        <v>26</v>
      </c>
      <c r="D113" t="s">
        <v>13</v>
      </c>
      <c r="E113" t="s">
        <v>27</v>
      </c>
      <c r="F113">
        <v>38921.360000000001</v>
      </c>
      <c r="G113" t="s">
        <v>16</v>
      </c>
      <c r="H113" s="3">
        <v>45911</v>
      </c>
      <c r="I113">
        <v>3.4000000000000002E-2</v>
      </c>
      <c r="J113">
        <v>23646.03714325243</v>
      </c>
      <c r="K113" t="s">
        <v>28</v>
      </c>
    </row>
    <row r="114" spans="1:11">
      <c r="A114" t="s">
        <v>19</v>
      </c>
      <c r="B114" t="s">
        <v>18</v>
      </c>
      <c r="C114" t="s">
        <v>21</v>
      </c>
      <c r="D114" t="s">
        <v>20</v>
      </c>
      <c r="E114" t="s">
        <v>27</v>
      </c>
      <c r="F114">
        <v>25551.29</v>
      </c>
      <c r="G114" t="s">
        <v>16</v>
      </c>
      <c r="H114" s="3">
        <v>45998</v>
      </c>
      <c r="J114">
        <v>17848.007061570988</v>
      </c>
      <c r="K114" t="s">
        <v>28</v>
      </c>
    </row>
    <row r="115" spans="1:11">
      <c r="A115" t="s">
        <v>11</v>
      </c>
      <c r="B115" t="s">
        <v>12</v>
      </c>
      <c r="C115" t="s">
        <v>13</v>
      </c>
      <c r="D115" t="s">
        <v>14</v>
      </c>
      <c r="E115" t="s">
        <v>27</v>
      </c>
      <c r="F115">
        <v>94676.65</v>
      </c>
      <c r="G115" t="s">
        <v>16</v>
      </c>
      <c r="H115" s="3">
        <v>45927</v>
      </c>
      <c r="J115">
        <v>73051.436410323877</v>
      </c>
      <c r="K115" t="s">
        <v>28</v>
      </c>
    </row>
    <row r="116" spans="1:11">
      <c r="A116" t="s">
        <v>25</v>
      </c>
      <c r="B116" t="s">
        <v>12</v>
      </c>
      <c r="C116" t="s">
        <v>26</v>
      </c>
      <c r="D116" t="s">
        <v>14</v>
      </c>
      <c r="E116" t="s">
        <v>27</v>
      </c>
      <c r="F116">
        <v>47586.68</v>
      </c>
      <c r="G116" t="s">
        <v>24</v>
      </c>
      <c r="H116" s="3">
        <v>45904</v>
      </c>
      <c r="J116">
        <v>42127.774932635257</v>
      </c>
      <c r="K116" t="s">
        <v>28</v>
      </c>
    </row>
    <row r="117" spans="1:11">
      <c r="A117" t="s">
        <v>25</v>
      </c>
      <c r="B117" t="s">
        <v>11</v>
      </c>
      <c r="C117" t="s">
        <v>26</v>
      </c>
      <c r="D117" t="s">
        <v>13</v>
      </c>
      <c r="E117" t="s">
        <v>27</v>
      </c>
      <c r="F117">
        <v>15512.31</v>
      </c>
      <c r="G117" t="s">
        <v>24</v>
      </c>
      <c r="H117" s="3">
        <v>45949</v>
      </c>
      <c r="I117">
        <v>8.9800000000000005E-2</v>
      </c>
      <c r="J117">
        <v>9309.5687171598584</v>
      </c>
      <c r="K117" t="s">
        <v>28</v>
      </c>
    </row>
    <row r="118" spans="1:11">
      <c r="A118" t="s">
        <v>18</v>
      </c>
      <c r="B118" t="s">
        <v>19</v>
      </c>
      <c r="C118" t="s">
        <v>20</v>
      </c>
      <c r="D118" t="s">
        <v>21</v>
      </c>
      <c r="E118" t="s">
        <v>27</v>
      </c>
      <c r="F118">
        <v>21039.71</v>
      </c>
      <c r="G118" t="s">
        <v>23</v>
      </c>
      <c r="H118" s="3">
        <v>45950</v>
      </c>
      <c r="I118">
        <v>0.04</v>
      </c>
      <c r="J118">
        <v>15184.18000318584</v>
      </c>
      <c r="K118" t="s">
        <v>28</v>
      </c>
    </row>
    <row r="119" spans="1:11">
      <c r="A119" t="s">
        <v>25</v>
      </c>
      <c r="B119" t="s">
        <v>11</v>
      </c>
      <c r="C119" t="s">
        <v>26</v>
      </c>
      <c r="D119" t="s">
        <v>13</v>
      </c>
      <c r="E119" t="s">
        <v>27</v>
      </c>
      <c r="F119">
        <v>158932.97</v>
      </c>
      <c r="G119" t="s">
        <v>23</v>
      </c>
      <c r="H119" s="3">
        <v>45660</v>
      </c>
      <c r="I119">
        <v>0.18110000000000001</v>
      </c>
      <c r="J119">
        <v>121358.3638921153</v>
      </c>
      <c r="K119" t="s">
        <v>28</v>
      </c>
    </row>
    <row r="120" spans="1:11">
      <c r="A120" t="s">
        <v>19</v>
      </c>
      <c r="B120" t="s">
        <v>11</v>
      </c>
      <c r="C120" t="s">
        <v>21</v>
      </c>
      <c r="D120" t="s">
        <v>13</v>
      </c>
      <c r="E120" t="s">
        <v>27</v>
      </c>
      <c r="F120">
        <v>108675.28</v>
      </c>
      <c r="G120" t="s">
        <v>24</v>
      </c>
      <c r="H120" s="3">
        <v>45695</v>
      </c>
      <c r="I120">
        <v>3.4700000000000002E-2</v>
      </c>
      <c r="K120" t="s">
        <v>28</v>
      </c>
    </row>
    <row r="121" spans="1:11">
      <c r="A121" t="s">
        <v>18</v>
      </c>
      <c r="B121" t="s">
        <v>19</v>
      </c>
      <c r="C121" t="s">
        <v>20</v>
      </c>
      <c r="D121" t="s">
        <v>21</v>
      </c>
      <c r="E121" t="s">
        <v>15</v>
      </c>
      <c r="F121">
        <v>88206.7</v>
      </c>
      <c r="G121" t="s">
        <v>24</v>
      </c>
      <c r="H121" s="3">
        <v>45690</v>
      </c>
      <c r="J121">
        <v>80827.74068574651</v>
      </c>
      <c r="K121" t="s">
        <v>28</v>
      </c>
    </row>
    <row r="122" spans="1:11">
      <c r="A122" t="s">
        <v>12</v>
      </c>
      <c r="B122" t="s">
        <v>18</v>
      </c>
      <c r="C122" t="s">
        <v>14</v>
      </c>
      <c r="D122" t="s">
        <v>20</v>
      </c>
      <c r="E122" t="s">
        <v>27</v>
      </c>
      <c r="F122">
        <v>110440.31</v>
      </c>
      <c r="G122" t="s">
        <v>24</v>
      </c>
      <c r="H122" s="3">
        <v>45710</v>
      </c>
      <c r="I122">
        <v>0.1734</v>
      </c>
      <c r="K122" t="s">
        <v>28</v>
      </c>
    </row>
    <row r="123" spans="1:11">
      <c r="A123" t="s">
        <v>19</v>
      </c>
      <c r="B123" t="s">
        <v>12</v>
      </c>
      <c r="C123" t="s">
        <v>21</v>
      </c>
      <c r="D123" t="s">
        <v>14</v>
      </c>
      <c r="E123" t="s">
        <v>22</v>
      </c>
      <c r="F123">
        <v>95813.43</v>
      </c>
      <c r="G123" t="s">
        <v>24</v>
      </c>
      <c r="H123" s="3">
        <v>45928</v>
      </c>
      <c r="I123">
        <v>7.51E-2</v>
      </c>
      <c r="J123">
        <v>60158.29466760061</v>
      </c>
      <c r="K123" t="s">
        <v>28</v>
      </c>
    </row>
    <row r="124" spans="1:11">
      <c r="A124" t="s">
        <v>11</v>
      </c>
      <c r="B124" t="s">
        <v>12</v>
      </c>
      <c r="C124" t="s">
        <v>13</v>
      </c>
      <c r="D124" t="s">
        <v>14</v>
      </c>
      <c r="E124" t="s">
        <v>15</v>
      </c>
      <c r="F124">
        <v>173692.48</v>
      </c>
      <c r="G124" t="s">
        <v>16</v>
      </c>
      <c r="H124" s="3">
        <v>45803</v>
      </c>
      <c r="I124">
        <v>2.3900000000000001E-2</v>
      </c>
      <c r="K124" t="s">
        <v>28</v>
      </c>
    </row>
    <row r="125" spans="1:11">
      <c r="A125" t="s">
        <v>19</v>
      </c>
      <c r="B125" t="s">
        <v>18</v>
      </c>
      <c r="C125" t="s">
        <v>21</v>
      </c>
      <c r="D125" t="s">
        <v>20</v>
      </c>
      <c r="E125" t="s">
        <v>27</v>
      </c>
      <c r="F125">
        <v>48882.79</v>
      </c>
      <c r="G125" t="s">
        <v>16</v>
      </c>
      <c r="H125" s="3">
        <v>45970</v>
      </c>
      <c r="I125">
        <v>0.1226</v>
      </c>
      <c r="J125">
        <v>44892.606819961358</v>
      </c>
      <c r="K125" t="s">
        <v>28</v>
      </c>
    </row>
    <row r="126" spans="1:11">
      <c r="A126" t="s">
        <v>19</v>
      </c>
      <c r="B126" t="s">
        <v>18</v>
      </c>
      <c r="C126" t="s">
        <v>21</v>
      </c>
      <c r="D126" t="s">
        <v>20</v>
      </c>
      <c r="E126" t="s">
        <v>22</v>
      </c>
      <c r="F126">
        <v>69990.44</v>
      </c>
      <c r="G126" t="s">
        <v>24</v>
      </c>
      <c r="H126" s="3">
        <v>45813</v>
      </c>
      <c r="I126">
        <v>1.17E-2</v>
      </c>
      <c r="J126">
        <v>43352.831862369108</v>
      </c>
      <c r="K126" t="s">
        <v>28</v>
      </c>
    </row>
    <row r="127" spans="1:11">
      <c r="A127" t="s">
        <v>19</v>
      </c>
      <c r="B127" t="s">
        <v>11</v>
      </c>
      <c r="C127" t="s">
        <v>21</v>
      </c>
      <c r="D127" t="s">
        <v>13</v>
      </c>
      <c r="E127" t="s">
        <v>27</v>
      </c>
      <c r="F127">
        <v>105592.12</v>
      </c>
      <c r="G127" t="s">
        <v>16</v>
      </c>
      <c r="H127" s="3">
        <v>45816</v>
      </c>
      <c r="I127">
        <v>0.1007</v>
      </c>
      <c r="J127">
        <v>83460.385611455451</v>
      </c>
      <c r="K127" t="s">
        <v>28</v>
      </c>
    </row>
    <row r="128" spans="1:11">
      <c r="A128" t="s">
        <v>12</v>
      </c>
      <c r="B128" t="s">
        <v>18</v>
      </c>
      <c r="C128" t="s">
        <v>14</v>
      </c>
      <c r="D128" t="s">
        <v>20</v>
      </c>
      <c r="E128" t="s">
        <v>15</v>
      </c>
      <c r="F128">
        <v>14418.5</v>
      </c>
      <c r="G128" t="s">
        <v>16</v>
      </c>
      <c r="H128" s="3">
        <v>45679</v>
      </c>
      <c r="I128">
        <v>0.18079999999999999</v>
      </c>
      <c r="J128">
        <v>10634.06323377606</v>
      </c>
      <c r="K128" t="s">
        <v>28</v>
      </c>
    </row>
    <row r="129" spans="1:11">
      <c r="A129" t="s">
        <v>12</v>
      </c>
      <c r="B129" t="s">
        <v>18</v>
      </c>
      <c r="C129" t="s">
        <v>14</v>
      </c>
      <c r="D129" t="s">
        <v>20</v>
      </c>
      <c r="E129" t="s">
        <v>22</v>
      </c>
      <c r="F129">
        <v>173988.61</v>
      </c>
      <c r="G129" t="s">
        <v>16</v>
      </c>
      <c r="H129" s="3">
        <v>45834</v>
      </c>
      <c r="J129">
        <v>110406.24553028779</v>
      </c>
      <c r="K129" t="s">
        <v>28</v>
      </c>
    </row>
    <row r="130" spans="1:11">
      <c r="A130" t="s">
        <v>19</v>
      </c>
      <c r="B130" t="s">
        <v>18</v>
      </c>
      <c r="C130" t="s">
        <v>21</v>
      </c>
      <c r="D130" t="s">
        <v>20</v>
      </c>
      <c r="E130" t="s">
        <v>27</v>
      </c>
      <c r="F130">
        <v>160924.98000000001</v>
      </c>
      <c r="G130" t="s">
        <v>23</v>
      </c>
      <c r="H130" s="3">
        <v>45951</v>
      </c>
      <c r="J130">
        <v>111182.1735616494</v>
      </c>
      <c r="K130" t="s">
        <v>28</v>
      </c>
    </row>
    <row r="131" spans="1:11">
      <c r="A131" t="s">
        <v>18</v>
      </c>
      <c r="B131" t="s">
        <v>12</v>
      </c>
      <c r="C131" t="s">
        <v>20</v>
      </c>
      <c r="D131" t="s">
        <v>14</v>
      </c>
      <c r="E131" t="s">
        <v>22</v>
      </c>
      <c r="F131">
        <v>104969.03</v>
      </c>
      <c r="G131" t="s">
        <v>23</v>
      </c>
      <c r="H131" s="3">
        <v>45885</v>
      </c>
      <c r="I131">
        <v>0.12690000000000001</v>
      </c>
      <c r="J131">
        <v>98545.390274441888</v>
      </c>
      <c r="K131" t="s">
        <v>28</v>
      </c>
    </row>
    <row r="132" spans="1:11">
      <c r="A132" t="s">
        <v>11</v>
      </c>
      <c r="B132" t="s">
        <v>18</v>
      </c>
      <c r="C132" t="s">
        <v>13</v>
      </c>
      <c r="D132" t="s">
        <v>20</v>
      </c>
      <c r="E132" t="s">
        <v>22</v>
      </c>
      <c r="F132">
        <v>195074.37</v>
      </c>
      <c r="G132" t="s">
        <v>16</v>
      </c>
      <c r="H132" s="3">
        <v>45960</v>
      </c>
      <c r="J132">
        <v>152986.8945928984</v>
      </c>
      <c r="K132" t="s">
        <v>28</v>
      </c>
    </row>
    <row r="133" spans="1:11">
      <c r="A133" t="s">
        <v>12</v>
      </c>
      <c r="B133" t="s">
        <v>18</v>
      </c>
      <c r="C133" t="s">
        <v>14</v>
      </c>
      <c r="D133" t="s">
        <v>20</v>
      </c>
      <c r="E133" t="s">
        <v>27</v>
      </c>
      <c r="F133">
        <v>36277.06</v>
      </c>
      <c r="G133" t="s">
        <v>16</v>
      </c>
      <c r="H133" s="3">
        <v>46020</v>
      </c>
      <c r="I133">
        <v>0.1517</v>
      </c>
      <c r="J133">
        <v>32715.42136424331</v>
      </c>
      <c r="K133" t="s">
        <v>28</v>
      </c>
    </row>
    <row r="134" spans="1:11">
      <c r="A134" t="s">
        <v>25</v>
      </c>
      <c r="B134" t="s">
        <v>18</v>
      </c>
      <c r="C134" t="s">
        <v>26</v>
      </c>
      <c r="D134" t="s">
        <v>20</v>
      </c>
      <c r="E134" t="s">
        <v>15</v>
      </c>
      <c r="F134">
        <v>198001.58</v>
      </c>
      <c r="G134" t="s">
        <v>16</v>
      </c>
      <c r="H134" s="3">
        <v>45753</v>
      </c>
      <c r="I134">
        <v>4.87E-2</v>
      </c>
      <c r="J134">
        <v>170788.31108689541</v>
      </c>
      <c r="K134" t="s">
        <v>28</v>
      </c>
    </row>
    <row r="135" spans="1:11">
      <c r="A135" t="s">
        <v>18</v>
      </c>
      <c r="B135" t="s">
        <v>12</v>
      </c>
      <c r="C135" t="s">
        <v>20</v>
      </c>
      <c r="D135" t="s">
        <v>14</v>
      </c>
      <c r="E135" t="s">
        <v>15</v>
      </c>
      <c r="F135">
        <v>46332.23</v>
      </c>
      <c r="G135" t="s">
        <v>16</v>
      </c>
      <c r="H135" s="3">
        <v>45780</v>
      </c>
      <c r="I135">
        <v>0.16170000000000001</v>
      </c>
      <c r="K135" t="s">
        <v>28</v>
      </c>
    </row>
    <row r="136" spans="1:11">
      <c r="A136" t="s">
        <v>18</v>
      </c>
      <c r="B136" t="s">
        <v>12</v>
      </c>
      <c r="C136" t="s">
        <v>20</v>
      </c>
      <c r="D136" t="s">
        <v>14</v>
      </c>
      <c r="E136" t="s">
        <v>22</v>
      </c>
      <c r="F136">
        <v>158578.29999999999</v>
      </c>
      <c r="G136" t="s">
        <v>23</v>
      </c>
      <c r="H136" s="3">
        <v>45957</v>
      </c>
      <c r="I136">
        <v>0.1817</v>
      </c>
      <c r="J136">
        <v>109455.660354996</v>
      </c>
      <c r="K136" t="s">
        <v>28</v>
      </c>
    </row>
    <row r="137" spans="1:11">
      <c r="A137" t="s">
        <v>12</v>
      </c>
      <c r="B137" t="s">
        <v>25</v>
      </c>
      <c r="C137" t="s">
        <v>14</v>
      </c>
      <c r="D137" t="s">
        <v>26</v>
      </c>
      <c r="E137" t="s">
        <v>27</v>
      </c>
      <c r="F137">
        <v>21156.81</v>
      </c>
      <c r="G137" t="s">
        <v>16</v>
      </c>
      <c r="H137" s="3">
        <v>45703</v>
      </c>
      <c r="I137">
        <v>0.1061</v>
      </c>
      <c r="J137">
        <v>15369.28315829864</v>
      </c>
      <c r="K137" t="s">
        <v>28</v>
      </c>
    </row>
    <row r="138" spans="1:11">
      <c r="A138" t="s">
        <v>12</v>
      </c>
      <c r="B138" t="s">
        <v>25</v>
      </c>
      <c r="C138" t="s">
        <v>14</v>
      </c>
      <c r="D138" t="s">
        <v>26</v>
      </c>
      <c r="E138" t="s">
        <v>27</v>
      </c>
      <c r="F138">
        <v>140876.1</v>
      </c>
      <c r="G138" t="s">
        <v>24</v>
      </c>
      <c r="H138" s="3">
        <v>45898</v>
      </c>
      <c r="I138">
        <v>0.15559999999999999</v>
      </c>
      <c r="J138">
        <v>105666.8054882946</v>
      </c>
      <c r="K138" t="s">
        <v>28</v>
      </c>
    </row>
    <row r="139" spans="1:11">
      <c r="A139" t="s">
        <v>18</v>
      </c>
      <c r="B139" t="s">
        <v>12</v>
      </c>
      <c r="C139" t="s">
        <v>20</v>
      </c>
      <c r="D139" t="s">
        <v>14</v>
      </c>
      <c r="E139" t="s">
        <v>15</v>
      </c>
      <c r="F139">
        <v>8574.8700000000008</v>
      </c>
      <c r="G139" t="s">
        <v>24</v>
      </c>
      <c r="H139" s="3">
        <v>45948</v>
      </c>
      <c r="I139">
        <v>2.2700000000000001E-2</v>
      </c>
      <c r="K139" t="s">
        <v>28</v>
      </c>
    </row>
    <row r="140" spans="1:11">
      <c r="A140" t="s">
        <v>25</v>
      </c>
      <c r="B140" t="s">
        <v>12</v>
      </c>
      <c r="C140" t="s">
        <v>26</v>
      </c>
      <c r="D140" t="s">
        <v>14</v>
      </c>
      <c r="E140" t="s">
        <v>15</v>
      </c>
      <c r="F140">
        <v>168055.1</v>
      </c>
      <c r="G140" t="s">
        <v>24</v>
      </c>
      <c r="H140" s="3">
        <v>45747</v>
      </c>
      <c r="I140">
        <v>0.1966</v>
      </c>
      <c r="J140">
        <v>105906.6084385061</v>
      </c>
      <c r="K140" t="s">
        <v>28</v>
      </c>
    </row>
    <row r="141" spans="1:11">
      <c r="A141" t="s">
        <v>11</v>
      </c>
      <c r="B141" t="s">
        <v>25</v>
      </c>
      <c r="C141" t="s">
        <v>13</v>
      </c>
      <c r="D141" t="s">
        <v>26</v>
      </c>
      <c r="E141" t="s">
        <v>27</v>
      </c>
      <c r="F141">
        <v>132469.5</v>
      </c>
      <c r="G141" t="s">
        <v>23</v>
      </c>
      <c r="H141" s="3">
        <v>45912</v>
      </c>
      <c r="I141">
        <v>1.7100000000000001E-2</v>
      </c>
      <c r="J141">
        <v>107708.90790758371</v>
      </c>
      <c r="K141" t="s">
        <v>28</v>
      </c>
    </row>
    <row r="142" spans="1:11">
      <c r="A142" t="s">
        <v>11</v>
      </c>
      <c r="B142" t="s">
        <v>19</v>
      </c>
      <c r="C142" t="s">
        <v>13</v>
      </c>
      <c r="D142" t="s">
        <v>21</v>
      </c>
      <c r="E142" t="s">
        <v>27</v>
      </c>
      <c r="F142">
        <v>178582.43</v>
      </c>
      <c r="G142" t="s">
        <v>23</v>
      </c>
      <c r="H142" s="3">
        <v>45659</v>
      </c>
      <c r="I142">
        <v>0.107</v>
      </c>
      <c r="K142" t="s">
        <v>28</v>
      </c>
    </row>
    <row r="143" spans="1:11">
      <c r="A143" t="s">
        <v>25</v>
      </c>
      <c r="B143" t="s">
        <v>19</v>
      </c>
      <c r="C143" t="s">
        <v>26</v>
      </c>
      <c r="D143" t="s">
        <v>21</v>
      </c>
      <c r="E143" t="s">
        <v>22</v>
      </c>
      <c r="F143">
        <v>198041.26</v>
      </c>
      <c r="G143" t="s">
        <v>24</v>
      </c>
      <c r="H143" s="3">
        <v>45861</v>
      </c>
      <c r="I143">
        <v>0.14510000000000001</v>
      </c>
      <c r="J143">
        <v>146611.09467088789</v>
      </c>
      <c r="K143" t="s">
        <v>28</v>
      </c>
    </row>
    <row r="144" spans="1:11">
      <c r="A144" t="s">
        <v>19</v>
      </c>
      <c r="B144" t="s">
        <v>25</v>
      </c>
      <c r="C144" t="s">
        <v>21</v>
      </c>
      <c r="D144" t="s">
        <v>26</v>
      </c>
      <c r="E144" t="s">
        <v>27</v>
      </c>
      <c r="F144">
        <v>33624.51</v>
      </c>
      <c r="G144" t="s">
        <v>16</v>
      </c>
      <c r="H144" s="3">
        <v>45938</v>
      </c>
      <c r="J144">
        <v>31736.36287177377</v>
      </c>
      <c r="K144" t="s">
        <v>28</v>
      </c>
    </row>
    <row r="145" spans="1:11">
      <c r="A145" t="s">
        <v>11</v>
      </c>
      <c r="B145" t="s">
        <v>19</v>
      </c>
      <c r="C145" t="s">
        <v>13</v>
      </c>
      <c r="D145" t="s">
        <v>21</v>
      </c>
      <c r="E145" t="s">
        <v>15</v>
      </c>
      <c r="F145">
        <v>155601.49</v>
      </c>
      <c r="G145" t="s">
        <v>16</v>
      </c>
      <c r="H145" s="3">
        <v>45726</v>
      </c>
      <c r="K145" t="s">
        <v>28</v>
      </c>
    </row>
    <row r="146" spans="1:11">
      <c r="A146" t="s">
        <v>11</v>
      </c>
      <c r="B146" t="s">
        <v>19</v>
      </c>
      <c r="C146" t="s">
        <v>13</v>
      </c>
      <c r="D146" t="s">
        <v>21</v>
      </c>
      <c r="E146" t="s">
        <v>22</v>
      </c>
      <c r="F146">
        <v>178748.7</v>
      </c>
      <c r="G146" t="s">
        <v>16</v>
      </c>
      <c r="H146" s="3">
        <v>45851</v>
      </c>
      <c r="I146">
        <v>1.52E-2</v>
      </c>
      <c r="J146">
        <v>161020.62956901221</v>
      </c>
      <c r="K146" t="s">
        <v>28</v>
      </c>
    </row>
    <row r="147" spans="1:11">
      <c r="A147" t="s">
        <v>12</v>
      </c>
      <c r="B147" t="s">
        <v>25</v>
      </c>
      <c r="C147" t="s">
        <v>14</v>
      </c>
      <c r="D147" t="s">
        <v>26</v>
      </c>
      <c r="E147" t="s">
        <v>22</v>
      </c>
      <c r="F147">
        <v>70020.66</v>
      </c>
      <c r="G147" t="s">
        <v>16</v>
      </c>
      <c r="H147" s="3">
        <v>45944</v>
      </c>
      <c r="I147">
        <v>0.18</v>
      </c>
      <c r="J147">
        <v>62569.989058085288</v>
      </c>
      <c r="K147" t="s">
        <v>28</v>
      </c>
    </row>
    <row r="148" spans="1:11">
      <c r="A148" t="s">
        <v>18</v>
      </c>
      <c r="B148" t="s">
        <v>11</v>
      </c>
      <c r="C148" t="s">
        <v>20</v>
      </c>
      <c r="D148" t="s">
        <v>13</v>
      </c>
      <c r="E148" t="s">
        <v>22</v>
      </c>
      <c r="F148">
        <v>186712.92</v>
      </c>
      <c r="G148" t="s">
        <v>16</v>
      </c>
      <c r="H148" s="3">
        <v>45790</v>
      </c>
      <c r="J148">
        <v>126920.92701198001</v>
      </c>
      <c r="K148" t="s">
        <v>28</v>
      </c>
    </row>
    <row r="149" spans="1:11">
      <c r="A149" t="s">
        <v>18</v>
      </c>
      <c r="B149" t="s">
        <v>11</v>
      </c>
      <c r="C149" t="s">
        <v>20</v>
      </c>
      <c r="D149" t="s">
        <v>13</v>
      </c>
      <c r="E149" t="s">
        <v>15</v>
      </c>
      <c r="F149">
        <v>172012.25</v>
      </c>
      <c r="G149" t="s">
        <v>24</v>
      </c>
      <c r="H149" s="3">
        <v>45951</v>
      </c>
      <c r="K149" t="s">
        <v>28</v>
      </c>
    </row>
    <row r="150" spans="1:11">
      <c r="A150" t="s">
        <v>12</v>
      </c>
      <c r="B150" t="s">
        <v>25</v>
      </c>
      <c r="C150" t="s">
        <v>14</v>
      </c>
      <c r="D150" t="s">
        <v>26</v>
      </c>
      <c r="E150" t="s">
        <v>22</v>
      </c>
      <c r="F150">
        <v>98297.82</v>
      </c>
      <c r="G150" t="s">
        <v>23</v>
      </c>
      <c r="H150" s="3">
        <v>45951</v>
      </c>
      <c r="I150">
        <v>8.5800000000000001E-2</v>
      </c>
      <c r="K150" t="s">
        <v>28</v>
      </c>
    </row>
    <row r="151" spans="1:11">
      <c r="A151" t="s">
        <v>11</v>
      </c>
      <c r="B151" t="s">
        <v>25</v>
      </c>
      <c r="C151" t="s">
        <v>13</v>
      </c>
      <c r="D151" t="s">
        <v>26</v>
      </c>
      <c r="E151" t="s">
        <v>15</v>
      </c>
      <c r="F151">
        <v>118770.51</v>
      </c>
      <c r="G151" t="s">
        <v>16</v>
      </c>
      <c r="H151" s="3">
        <v>45845</v>
      </c>
      <c r="I151">
        <v>0.18629999999999999</v>
      </c>
      <c r="J151">
        <v>77746.864086093919</v>
      </c>
      <c r="K151" t="s">
        <v>28</v>
      </c>
    </row>
    <row r="152" spans="1:11">
      <c r="A152" t="s">
        <v>18</v>
      </c>
      <c r="B152" t="s">
        <v>11</v>
      </c>
      <c r="C152" t="s">
        <v>20</v>
      </c>
      <c r="D152" t="s">
        <v>13</v>
      </c>
      <c r="E152" t="s">
        <v>27</v>
      </c>
      <c r="F152">
        <v>23247.53</v>
      </c>
      <c r="G152" t="s">
        <v>23</v>
      </c>
      <c r="H152" s="3">
        <v>46011</v>
      </c>
      <c r="I152">
        <v>2.24E-2</v>
      </c>
      <c r="J152">
        <v>21884.585713769829</v>
      </c>
      <c r="K152" t="s">
        <v>28</v>
      </c>
    </row>
    <row r="153" spans="1:11">
      <c r="A153" t="s">
        <v>18</v>
      </c>
      <c r="B153" t="s">
        <v>12</v>
      </c>
      <c r="C153" t="s">
        <v>20</v>
      </c>
      <c r="D153" t="s">
        <v>14</v>
      </c>
      <c r="E153" t="s">
        <v>27</v>
      </c>
      <c r="F153">
        <v>37375.550000000003</v>
      </c>
      <c r="G153" t="s">
        <v>23</v>
      </c>
      <c r="H153" s="3">
        <v>45908</v>
      </c>
      <c r="I153">
        <v>0.12870000000000001</v>
      </c>
      <c r="J153">
        <v>35250.530983007018</v>
      </c>
      <c r="K153" t="s">
        <v>28</v>
      </c>
    </row>
    <row r="154" spans="1:11">
      <c r="A154" t="s">
        <v>12</v>
      </c>
      <c r="B154" t="s">
        <v>11</v>
      </c>
      <c r="C154" t="s">
        <v>14</v>
      </c>
      <c r="D154" t="s">
        <v>13</v>
      </c>
      <c r="E154" t="s">
        <v>22</v>
      </c>
      <c r="F154">
        <v>124643.06</v>
      </c>
      <c r="G154" t="s">
        <v>23</v>
      </c>
      <c r="H154" s="3">
        <v>45954</v>
      </c>
      <c r="I154">
        <v>7.0800000000000002E-2</v>
      </c>
      <c r="J154">
        <v>118146.44689585541</v>
      </c>
      <c r="K154" t="s">
        <v>28</v>
      </c>
    </row>
    <row r="155" spans="1:11">
      <c r="A155" t="s">
        <v>25</v>
      </c>
      <c r="B155" t="s">
        <v>19</v>
      </c>
      <c r="C155" t="s">
        <v>26</v>
      </c>
      <c r="D155" t="s">
        <v>21</v>
      </c>
      <c r="E155" t="s">
        <v>22</v>
      </c>
      <c r="F155">
        <v>107159.75</v>
      </c>
      <c r="G155" t="s">
        <v>24</v>
      </c>
      <c r="H155" s="3">
        <v>45966</v>
      </c>
      <c r="I155">
        <v>0.15340000000000001</v>
      </c>
      <c r="K155" t="s">
        <v>28</v>
      </c>
    </row>
    <row r="156" spans="1:11">
      <c r="A156" t="s">
        <v>18</v>
      </c>
      <c r="B156" t="s">
        <v>25</v>
      </c>
      <c r="C156" t="s">
        <v>20</v>
      </c>
      <c r="D156" t="s">
        <v>26</v>
      </c>
      <c r="E156" t="s">
        <v>27</v>
      </c>
      <c r="F156">
        <v>174860.17</v>
      </c>
      <c r="G156" t="s">
        <v>16</v>
      </c>
      <c r="H156" s="3">
        <v>45676</v>
      </c>
      <c r="I156">
        <v>7.7499999999999999E-2</v>
      </c>
      <c r="J156">
        <v>161971.22877710339</v>
      </c>
      <c r="K156" t="s">
        <v>28</v>
      </c>
    </row>
    <row r="157" spans="1:11">
      <c r="A157" t="s">
        <v>11</v>
      </c>
      <c r="B157" t="s">
        <v>18</v>
      </c>
      <c r="C157" t="s">
        <v>13</v>
      </c>
      <c r="D157" t="s">
        <v>20</v>
      </c>
      <c r="E157" t="s">
        <v>27</v>
      </c>
      <c r="F157">
        <v>31248.2</v>
      </c>
      <c r="G157" t="s">
        <v>24</v>
      </c>
      <c r="H157" s="3">
        <v>45915</v>
      </c>
      <c r="I157">
        <v>0.16350000000000001</v>
      </c>
      <c r="J157">
        <v>24921.30042568074</v>
      </c>
      <c r="K157" t="s">
        <v>28</v>
      </c>
    </row>
    <row r="158" spans="1:11">
      <c r="A158" t="s">
        <v>11</v>
      </c>
      <c r="B158" t="s">
        <v>12</v>
      </c>
      <c r="C158" t="s">
        <v>13</v>
      </c>
      <c r="D158" t="s">
        <v>14</v>
      </c>
      <c r="E158" t="s">
        <v>22</v>
      </c>
      <c r="F158">
        <v>53410.94</v>
      </c>
      <c r="G158" t="s">
        <v>16</v>
      </c>
      <c r="H158" s="3">
        <v>45837</v>
      </c>
      <c r="J158">
        <v>36673.783095480358</v>
      </c>
      <c r="K158" t="s">
        <v>28</v>
      </c>
    </row>
    <row r="159" spans="1:11">
      <c r="A159" t="s">
        <v>19</v>
      </c>
      <c r="B159" t="s">
        <v>18</v>
      </c>
      <c r="C159" t="s">
        <v>21</v>
      </c>
      <c r="D159" t="s">
        <v>20</v>
      </c>
      <c r="E159" t="s">
        <v>22</v>
      </c>
      <c r="F159">
        <v>125073.85</v>
      </c>
      <c r="G159" t="s">
        <v>24</v>
      </c>
      <c r="H159" s="3">
        <v>45735</v>
      </c>
      <c r="I159">
        <v>5.9799999999999999E-2</v>
      </c>
      <c r="J159">
        <v>76624.166771525095</v>
      </c>
      <c r="K159" t="s">
        <v>28</v>
      </c>
    </row>
    <row r="160" spans="1:11">
      <c r="A160" t="s">
        <v>12</v>
      </c>
      <c r="B160" t="s">
        <v>25</v>
      </c>
      <c r="C160" t="s">
        <v>14</v>
      </c>
      <c r="D160" t="s">
        <v>26</v>
      </c>
      <c r="E160" t="s">
        <v>22</v>
      </c>
      <c r="F160">
        <v>48172.36</v>
      </c>
      <c r="G160" t="s">
        <v>23</v>
      </c>
      <c r="H160" s="3">
        <v>45712</v>
      </c>
      <c r="I160">
        <v>5.0700000000000002E-2</v>
      </c>
      <c r="K160" t="s">
        <v>28</v>
      </c>
    </row>
    <row r="161" spans="1:11">
      <c r="A161" t="s">
        <v>18</v>
      </c>
      <c r="B161" t="s">
        <v>25</v>
      </c>
      <c r="C161" t="s">
        <v>20</v>
      </c>
      <c r="D161" t="s">
        <v>26</v>
      </c>
      <c r="E161" t="s">
        <v>27</v>
      </c>
      <c r="F161">
        <v>136539.98000000001</v>
      </c>
      <c r="G161" t="s">
        <v>16</v>
      </c>
      <c r="H161" s="3">
        <v>45988</v>
      </c>
      <c r="I161">
        <v>0.16200000000000001</v>
      </c>
      <c r="J161">
        <v>91846.209298562855</v>
      </c>
      <c r="K161" t="s">
        <v>28</v>
      </c>
    </row>
    <row r="162" spans="1:11">
      <c r="A162" t="s">
        <v>11</v>
      </c>
      <c r="B162" t="s">
        <v>19</v>
      </c>
      <c r="C162" t="s">
        <v>13</v>
      </c>
      <c r="D162" t="s">
        <v>21</v>
      </c>
      <c r="E162" t="s">
        <v>27</v>
      </c>
      <c r="F162">
        <v>64381.01</v>
      </c>
      <c r="G162" t="s">
        <v>24</v>
      </c>
      <c r="H162" s="3">
        <v>45804</v>
      </c>
      <c r="I162">
        <v>0.1686</v>
      </c>
      <c r="J162">
        <v>54538.320896414407</v>
      </c>
      <c r="K162" t="s">
        <v>28</v>
      </c>
    </row>
    <row r="163" spans="1:11">
      <c r="A163" t="s">
        <v>25</v>
      </c>
      <c r="B163" t="s">
        <v>18</v>
      </c>
      <c r="C163" t="s">
        <v>26</v>
      </c>
      <c r="D163" t="s">
        <v>20</v>
      </c>
      <c r="E163" t="s">
        <v>27</v>
      </c>
      <c r="F163">
        <v>187316.15</v>
      </c>
      <c r="G163" t="s">
        <v>24</v>
      </c>
      <c r="H163" s="3">
        <v>45915</v>
      </c>
      <c r="I163">
        <v>0.11119999999999999</v>
      </c>
      <c r="J163">
        <v>134946.82840927609</v>
      </c>
      <c r="K163" t="s">
        <v>28</v>
      </c>
    </row>
    <row r="164" spans="1:11">
      <c r="A164" t="s">
        <v>11</v>
      </c>
      <c r="B164" t="s">
        <v>25</v>
      </c>
      <c r="C164" t="s">
        <v>13</v>
      </c>
      <c r="D164" t="s">
        <v>26</v>
      </c>
      <c r="E164" t="s">
        <v>15</v>
      </c>
      <c r="F164">
        <v>122186.08</v>
      </c>
      <c r="G164" t="s">
        <v>23</v>
      </c>
      <c r="H164" s="3">
        <v>46012</v>
      </c>
      <c r="I164">
        <v>0.15229999999999999</v>
      </c>
      <c r="J164">
        <v>85947.985767789884</v>
      </c>
      <c r="K164" t="s">
        <v>28</v>
      </c>
    </row>
    <row r="165" spans="1:11">
      <c r="A165" t="s">
        <v>18</v>
      </c>
      <c r="B165" t="s">
        <v>25</v>
      </c>
      <c r="C165" t="s">
        <v>20</v>
      </c>
      <c r="D165" t="s">
        <v>26</v>
      </c>
      <c r="E165" t="s">
        <v>27</v>
      </c>
      <c r="F165">
        <v>15947.5</v>
      </c>
      <c r="G165" t="s">
        <v>24</v>
      </c>
      <c r="H165" s="3">
        <v>45717</v>
      </c>
      <c r="I165">
        <v>0.16869999999999999</v>
      </c>
      <c r="J165">
        <v>11243.439867963119</v>
      </c>
      <c r="K165" t="s">
        <v>28</v>
      </c>
    </row>
    <row r="166" spans="1:11">
      <c r="A166" t="s">
        <v>25</v>
      </c>
      <c r="B166" t="s">
        <v>11</v>
      </c>
      <c r="C166" t="s">
        <v>26</v>
      </c>
      <c r="D166" t="s">
        <v>13</v>
      </c>
      <c r="E166" t="s">
        <v>22</v>
      </c>
      <c r="F166">
        <v>145589.41</v>
      </c>
      <c r="G166" t="s">
        <v>16</v>
      </c>
      <c r="H166" s="3">
        <v>45665</v>
      </c>
      <c r="I166">
        <v>9.5100000000000004E-2</v>
      </c>
      <c r="J166">
        <v>124068.5681747115</v>
      </c>
      <c r="K166" t="s">
        <v>28</v>
      </c>
    </row>
    <row r="167" spans="1:11">
      <c r="A167" t="s">
        <v>12</v>
      </c>
      <c r="B167" t="s">
        <v>19</v>
      </c>
      <c r="C167" t="s">
        <v>14</v>
      </c>
      <c r="D167" t="s">
        <v>21</v>
      </c>
      <c r="E167" t="s">
        <v>15</v>
      </c>
      <c r="F167">
        <v>180553.23</v>
      </c>
      <c r="G167" t="s">
        <v>24</v>
      </c>
      <c r="H167" s="3">
        <v>45710</v>
      </c>
      <c r="I167">
        <v>0.1797</v>
      </c>
      <c r="J167">
        <v>158149.78925723341</v>
      </c>
      <c r="K167" t="s">
        <v>28</v>
      </c>
    </row>
    <row r="168" spans="1:11">
      <c r="A168" t="s">
        <v>19</v>
      </c>
      <c r="B168" t="s">
        <v>18</v>
      </c>
      <c r="C168" t="s">
        <v>21</v>
      </c>
      <c r="D168" t="s">
        <v>20</v>
      </c>
      <c r="E168" t="s">
        <v>15</v>
      </c>
      <c r="F168">
        <v>107941.28</v>
      </c>
      <c r="G168" t="s">
        <v>23</v>
      </c>
      <c r="H168" s="3">
        <v>45675</v>
      </c>
      <c r="I168">
        <v>0.15060000000000001</v>
      </c>
      <c r="J168">
        <v>72948.446557962277</v>
      </c>
      <c r="K168" t="s">
        <v>28</v>
      </c>
    </row>
    <row r="169" spans="1:11">
      <c r="A169" t="s">
        <v>19</v>
      </c>
      <c r="B169" t="s">
        <v>12</v>
      </c>
      <c r="C169" t="s">
        <v>21</v>
      </c>
      <c r="D169" t="s">
        <v>14</v>
      </c>
      <c r="E169" t="s">
        <v>22</v>
      </c>
      <c r="F169">
        <v>55946.52</v>
      </c>
      <c r="G169" t="s">
        <v>16</v>
      </c>
      <c r="H169" s="3">
        <v>45919</v>
      </c>
      <c r="J169">
        <v>47364.143078717163</v>
      </c>
      <c r="K169" t="s">
        <v>28</v>
      </c>
    </row>
    <row r="170" spans="1:11">
      <c r="A170" t="s">
        <v>19</v>
      </c>
      <c r="B170" t="s">
        <v>11</v>
      </c>
      <c r="C170" t="s">
        <v>21</v>
      </c>
      <c r="D170" t="s">
        <v>13</v>
      </c>
      <c r="E170" t="s">
        <v>15</v>
      </c>
      <c r="F170">
        <v>195654.98</v>
      </c>
      <c r="G170" t="s">
        <v>23</v>
      </c>
      <c r="H170" s="3">
        <v>45687</v>
      </c>
      <c r="I170">
        <v>8.8999999999999996E-2</v>
      </c>
      <c r="J170">
        <v>133064.77841533159</v>
      </c>
      <c r="K170" t="s">
        <v>28</v>
      </c>
    </row>
    <row r="171" spans="1:11">
      <c r="A171" t="s">
        <v>25</v>
      </c>
      <c r="B171" t="s">
        <v>18</v>
      </c>
      <c r="C171" t="s">
        <v>26</v>
      </c>
      <c r="D171" t="s">
        <v>20</v>
      </c>
      <c r="E171" t="s">
        <v>15</v>
      </c>
      <c r="F171">
        <v>157203.26</v>
      </c>
      <c r="G171" t="s">
        <v>24</v>
      </c>
      <c r="H171" s="3">
        <v>45762</v>
      </c>
      <c r="J171">
        <v>128061.5365331575</v>
      </c>
      <c r="K171" t="s">
        <v>28</v>
      </c>
    </row>
    <row r="172" spans="1:11">
      <c r="A172" t="s">
        <v>11</v>
      </c>
      <c r="B172" t="s">
        <v>25</v>
      </c>
      <c r="C172" t="s">
        <v>13</v>
      </c>
      <c r="D172" t="s">
        <v>26</v>
      </c>
      <c r="E172" t="s">
        <v>15</v>
      </c>
      <c r="F172">
        <v>156104.85</v>
      </c>
      <c r="G172" t="s">
        <v>16</v>
      </c>
      <c r="H172" s="3">
        <v>45668</v>
      </c>
      <c r="I172">
        <v>0.18029999999999999</v>
      </c>
      <c r="K172" t="s">
        <v>28</v>
      </c>
    </row>
    <row r="173" spans="1:11">
      <c r="A173" t="s">
        <v>12</v>
      </c>
      <c r="B173" t="s">
        <v>25</v>
      </c>
      <c r="C173" t="s">
        <v>14</v>
      </c>
      <c r="D173" t="s">
        <v>26</v>
      </c>
      <c r="E173" t="s">
        <v>15</v>
      </c>
      <c r="F173">
        <v>39839.94</v>
      </c>
      <c r="G173" t="s">
        <v>23</v>
      </c>
      <c r="H173" s="3">
        <v>46005</v>
      </c>
      <c r="I173">
        <v>4.6600000000000003E-2</v>
      </c>
      <c r="K173" t="s">
        <v>28</v>
      </c>
    </row>
    <row r="174" spans="1:11">
      <c r="A174" t="s">
        <v>18</v>
      </c>
      <c r="B174" t="s">
        <v>19</v>
      </c>
      <c r="C174" t="s">
        <v>20</v>
      </c>
      <c r="D174" t="s">
        <v>21</v>
      </c>
      <c r="E174" t="s">
        <v>22</v>
      </c>
      <c r="F174">
        <v>94185.24</v>
      </c>
      <c r="G174" t="s">
        <v>24</v>
      </c>
      <c r="H174" s="3">
        <v>45764</v>
      </c>
      <c r="J174">
        <v>67907.048254046123</v>
      </c>
      <c r="K174" t="s">
        <v>28</v>
      </c>
    </row>
    <row r="175" spans="1:11">
      <c r="A175" t="s">
        <v>12</v>
      </c>
      <c r="B175" t="s">
        <v>18</v>
      </c>
      <c r="C175" t="s">
        <v>14</v>
      </c>
      <c r="D175" t="s">
        <v>20</v>
      </c>
      <c r="E175" t="s">
        <v>27</v>
      </c>
      <c r="F175">
        <v>66379.31</v>
      </c>
      <c r="G175" t="s">
        <v>16</v>
      </c>
      <c r="H175" s="3">
        <v>45735</v>
      </c>
      <c r="J175">
        <v>58052.695764326098</v>
      </c>
      <c r="K175" t="s">
        <v>28</v>
      </c>
    </row>
    <row r="176" spans="1:11">
      <c r="A176" t="s">
        <v>19</v>
      </c>
      <c r="B176" t="s">
        <v>25</v>
      </c>
      <c r="C176" t="s">
        <v>21</v>
      </c>
      <c r="D176" t="s">
        <v>26</v>
      </c>
      <c r="E176" t="s">
        <v>15</v>
      </c>
      <c r="F176">
        <v>89431.39</v>
      </c>
      <c r="G176" t="s">
        <v>24</v>
      </c>
      <c r="H176" s="3">
        <v>45863</v>
      </c>
      <c r="I176">
        <v>0.18279999999999999</v>
      </c>
      <c r="J176">
        <v>69456.460920551384</v>
      </c>
      <c r="K176" t="s">
        <v>28</v>
      </c>
    </row>
    <row r="177" spans="1:11">
      <c r="A177" t="s">
        <v>19</v>
      </c>
      <c r="B177" t="s">
        <v>12</v>
      </c>
      <c r="C177" t="s">
        <v>21</v>
      </c>
      <c r="D177" t="s">
        <v>14</v>
      </c>
      <c r="E177" t="s">
        <v>15</v>
      </c>
      <c r="F177">
        <v>116788.09</v>
      </c>
      <c r="G177" t="s">
        <v>16</v>
      </c>
      <c r="H177" s="3">
        <v>45727</v>
      </c>
      <c r="I177">
        <v>0.18909999999999999</v>
      </c>
      <c r="K177" t="s">
        <v>28</v>
      </c>
    </row>
    <row r="178" spans="1:11">
      <c r="A178" t="s">
        <v>12</v>
      </c>
      <c r="B178" t="s">
        <v>19</v>
      </c>
      <c r="C178" t="s">
        <v>14</v>
      </c>
      <c r="D178" t="s">
        <v>21</v>
      </c>
      <c r="E178" t="s">
        <v>22</v>
      </c>
      <c r="F178">
        <v>110350.88</v>
      </c>
      <c r="G178" t="s">
        <v>24</v>
      </c>
      <c r="H178" s="3">
        <v>45726</v>
      </c>
      <c r="I178">
        <v>0.1903</v>
      </c>
      <c r="J178">
        <v>66516.917954148827</v>
      </c>
      <c r="K178" t="s">
        <v>28</v>
      </c>
    </row>
    <row r="179" spans="1:11">
      <c r="A179" t="s">
        <v>25</v>
      </c>
      <c r="B179" t="s">
        <v>18</v>
      </c>
      <c r="C179" t="s">
        <v>26</v>
      </c>
      <c r="D179" t="s">
        <v>20</v>
      </c>
      <c r="E179" t="s">
        <v>27</v>
      </c>
      <c r="F179">
        <v>172693.09</v>
      </c>
      <c r="G179" t="s">
        <v>23</v>
      </c>
      <c r="H179" s="3">
        <v>45965</v>
      </c>
      <c r="I179">
        <v>1.2E-2</v>
      </c>
      <c r="J179">
        <v>139123.73878312751</v>
      </c>
      <c r="K179" t="s">
        <v>28</v>
      </c>
    </row>
    <row r="180" spans="1:11">
      <c r="A180" t="s">
        <v>25</v>
      </c>
      <c r="B180" t="s">
        <v>12</v>
      </c>
      <c r="C180" t="s">
        <v>26</v>
      </c>
      <c r="D180" t="s">
        <v>14</v>
      </c>
      <c r="E180" t="s">
        <v>15</v>
      </c>
      <c r="F180">
        <v>179714.14</v>
      </c>
      <c r="G180" t="s">
        <v>16</v>
      </c>
      <c r="H180" s="3">
        <v>45886</v>
      </c>
      <c r="J180">
        <v>150818.39136375039</v>
      </c>
      <c r="K180" t="s">
        <v>28</v>
      </c>
    </row>
    <row r="181" spans="1:11">
      <c r="A181" t="s">
        <v>18</v>
      </c>
      <c r="B181" t="s">
        <v>12</v>
      </c>
      <c r="C181" t="s">
        <v>20</v>
      </c>
      <c r="D181" t="s">
        <v>14</v>
      </c>
      <c r="E181" t="s">
        <v>15</v>
      </c>
      <c r="F181">
        <v>193172.84</v>
      </c>
      <c r="G181" t="s">
        <v>24</v>
      </c>
      <c r="H181" s="3">
        <v>45900</v>
      </c>
      <c r="I181">
        <v>6.59E-2</v>
      </c>
      <c r="K181" t="s">
        <v>28</v>
      </c>
    </row>
    <row r="182" spans="1:11">
      <c r="A182" t="s">
        <v>25</v>
      </c>
      <c r="B182" t="s">
        <v>19</v>
      </c>
      <c r="C182" t="s">
        <v>26</v>
      </c>
      <c r="D182" t="s">
        <v>21</v>
      </c>
      <c r="E182" t="s">
        <v>15</v>
      </c>
      <c r="F182">
        <v>159942.78</v>
      </c>
      <c r="G182" t="s">
        <v>24</v>
      </c>
      <c r="H182" s="3">
        <v>45908</v>
      </c>
      <c r="J182">
        <v>139509.60473266779</v>
      </c>
      <c r="K182" t="s">
        <v>28</v>
      </c>
    </row>
    <row r="183" spans="1:11">
      <c r="A183" t="s">
        <v>19</v>
      </c>
      <c r="B183" t="s">
        <v>18</v>
      </c>
      <c r="C183" t="s">
        <v>21</v>
      </c>
      <c r="D183" t="s">
        <v>20</v>
      </c>
      <c r="E183" t="s">
        <v>22</v>
      </c>
      <c r="F183">
        <v>33022.800000000003</v>
      </c>
      <c r="G183" t="s">
        <v>23</v>
      </c>
      <c r="H183" s="3">
        <v>45824</v>
      </c>
      <c r="J183">
        <v>29621.172782766938</v>
      </c>
      <c r="K183" t="s">
        <v>28</v>
      </c>
    </row>
    <row r="184" spans="1:11">
      <c r="A184" t="s">
        <v>25</v>
      </c>
      <c r="B184" t="s">
        <v>18</v>
      </c>
      <c r="C184" t="s">
        <v>26</v>
      </c>
      <c r="D184" t="s">
        <v>20</v>
      </c>
      <c r="E184" t="s">
        <v>22</v>
      </c>
      <c r="F184">
        <v>78142.75</v>
      </c>
      <c r="G184" t="s">
        <v>24</v>
      </c>
      <c r="H184" s="3">
        <v>45899</v>
      </c>
      <c r="I184">
        <v>0.1729</v>
      </c>
      <c r="J184">
        <v>68570.223060579956</v>
      </c>
      <c r="K184" t="s">
        <v>28</v>
      </c>
    </row>
    <row r="185" spans="1:11">
      <c r="A185" t="s">
        <v>11</v>
      </c>
      <c r="B185" t="s">
        <v>18</v>
      </c>
      <c r="C185" t="s">
        <v>13</v>
      </c>
      <c r="D185" t="s">
        <v>20</v>
      </c>
      <c r="E185" t="s">
        <v>15</v>
      </c>
      <c r="F185">
        <v>11083.34</v>
      </c>
      <c r="G185" t="s">
        <v>16</v>
      </c>
      <c r="H185" s="3">
        <v>45860</v>
      </c>
      <c r="I185">
        <v>2.1899999999999999E-2</v>
      </c>
      <c r="J185">
        <v>6992.1726868606274</v>
      </c>
      <c r="K185" t="s">
        <v>28</v>
      </c>
    </row>
    <row r="186" spans="1:11">
      <c r="A186" t="s">
        <v>18</v>
      </c>
      <c r="B186" t="s">
        <v>25</v>
      </c>
      <c r="C186" t="s">
        <v>20</v>
      </c>
      <c r="D186" t="s">
        <v>26</v>
      </c>
      <c r="E186" t="s">
        <v>27</v>
      </c>
      <c r="F186">
        <v>178235.35</v>
      </c>
      <c r="G186" t="s">
        <v>24</v>
      </c>
      <c r="H186" s="3">
        <v>45877</v>
      </c>
      <c r="I186">
        <v>4.4999999999999998E-2</v>
      </c>
      <c r="J186">
        <v>134771.06053646989</v>
      </c>
      <c r="K186" t="s">
        <v>28</v>
      </c>
    </row>
    <row r="187" spans="1:11">
      <c r="A187" t="s">
        <v>18</v>
      </c>
      <c r="B187" t="s">
        <v>19</v>
      </c>
      <c r="C187" t="s">
        <v>20</v>
      </c>
      <c r="D187" t="s">
        <v>21</v>
      </c>
      <c r="E187" t="s">
        <v>27</v>
      </c>
      <c r="F187">
        <v>138078.47</v>
      </c>
      <c r="G187" t="s">
        <v>24</v>
      </c>
      <c r="H187" s="3">
        <v>45832</v>
      </c>
      <c r="I187">
        <v>5.3400000000000003E-2</v>
      </c>
      <c r="J187">
        <v>128201.5323125991</v>
      </c>
      <c r="K187" t="s">
        <v>28</v>
      </c>
    </row>
    <row r="188" spans="1:11">
      <c r="A188" t="s">
        <v>18</v>
      </c>
      <c r="B188" t="s">
        <v>12</v>
      </c>
      <c r="C188" t="s">
        <v>20</v>
      </c>
      <c r="D188" t="s">
        <v>14</v>
      </c>
      <c r="E188" t="s">
        <v>15</v>
      </c>
      <c r="F188">
        <v>155475.85999999999</v>
      </c>
      <c r="G188" t="s">
        <v>16</v>
      </c>
      <c r="H188" s="3">
        <v>45763</v>
      </c>
      <c r="I188">
        <v>0.1173</v>
      </c>
      <c r="J188">
        <v>134054.25995976079</v>
      </c>
      <c r="K188" t="s">
        <v>28</v>
      </c>
    </row>
    <row r="189" spans="1:11">
      <c r="A189" t="s">
        <v>25</v>
      </c>
      <c r="B189" t="s">
        <v>12</v>
      </c>
      <c r="C189" t="s">
        <v>26</v>
      </c>
      <c r="D189" t="s">
        <v>14</v>
      </c>
      <c r="E189" t="s">
        <v>27</v>
      </c>
      <c r="F189">
        <v>87806.58</v>
      </c>
      <c r="G189" t="s">
        <v>23</v>
      </c>
      <c r="H189" s="3">
        <v>45784</v>
      </c>
      <c r="I189">
        <v>8.0699999999999994E-2</v>
      </c>
      <c r="K189" t="s">
        <v>28</v>
      </c>
    </row>
    <row r="190" spans="1:11">
      <c r="A190" t="s">
        <v>12</v>
      </c>
      <c r="B190" t="s">
        <v>18</v>
      </c>
      <c r="C190" t="s">
        <v>14</v>
      </c>
      <c r="D190" t="s">
        <v>20</v>
      </c>
      <c r="E190" t="s">
        <v>22</v>
      </c>
      <c r="F190">
        <v>38138.44</v>
      </c>
      <c r="G190" t="s">
        <v>23</v>
      </c>
      <c r="H190" s="3">
        <v>45704</v>
      </c>
      <c r="I190">
        <v>3.8399999999999997E-2</v>
      </c>
      <c r="J190">
        <v>25338.55805263478</v>
      </c>
      <c r="K190" t="s">
        <v>28</v>
      </c>
    </row>
    <row r="191" spans="1:11">
      <c r="A191" t="s">
        <v>18</v>
      </c>
      <c r="B191" t="s">
        <v>12</v>
      </c>
      <c r="C191" t="s">
        <v>20</v>
      </c>
      <c r="D191" t="s">
        <v>14</v>
      </c>
      <c r="E191" t="s">
        <v>22</v>
      </c>
      <c r="F191">
        <v>36494.6</v>
      </c>
      <c r="G191" t="s">
        <v>24</v>
      </c>
      <c r="H191" s="3">
        <v>46008</v>
      </c>
      <c r="I191">
        <v>7.51E-2</v>
      </c>
      <c r="J191">
        <v>32119.49181184901</v>
      </c>
      <c r="K191" t="s">
        <v>28</v>
      </c>
    </row>
    <row r="192" spans="1:11">
      <c r="A192" t="s">
        <v>19</v>
      </c>
      <c r="B192" t="s">
        <v>25</v>
      </c>
      <c r="C192" t="s">
        <v>21</v>
      </c>
      <c r="D192" t="s">
        <v>26</v>
      </c>
      <c r="E192" t="s">
        <v>27</v>
      </c>
      <c r="F192">
        <v>62904.68</v>
      </c>
      <c r="G192" t="s">
        <v>23</v>
      </c>
      <c r="H192" s="3">
        <v>45793</v>
      </c>
      <c r="I192">
        <v>0.17330000000000001</v>
      </c>
      <c r="J192">
        <v>40489.412213652489</v>
      </c>
      <c r="K192" t="s">
        <v>28</v>
      </c>
    </row>
    <row r="193" spans="1:11">
      <c r="A193" t="s">
        <v>11</v>
      </c>
      <c r="B193" t="s">
        <v>19</v>
      </c>
      <c r="C193" t="s">
        <v>13</v>
      </c>
      <c r="D193" t="s">
        <v>21</v>
      </c>
      <c r="E193" t="s">
        <v>27</v>
      </c>
      <c r="F193">
        <v>5230.5</v>
      </c>
      <c r="G193" t="s">
        <v>24</v>
      </c>
      <c r="H193" s="3">
        <v>45720</v>
      </c>
      <c r="I193">
        <v>9.9500000000000005E-2</v>
      </c>
      <c r="J193">
        <v>4826.3838778584995</v>
      </c>
      <c r="K193" t="s">
        <v>28</v>
      </c>
    </row>
    <row r="194" spans="1:11">
      <c r="A194" t="s">
        <v>19</v>
      </c>
      <c r="B194" t="s">
        <v>18</v>
      </c>
      <c r="C194" t="s">
        <v>21</v>
      </c>
      <c r="D194" t="s">
        <v>20</v>
      </c>
      <c r="E194" t="s">
        <v>27</v>
      </c>
      <c r="F194">
        <v>100884.96</v>
      </c>
      <c r="G194" t="s">
        <v>16</v>
      </c>
      <c r="H194" s="3">
        <v>46001</v>
      </c>
      <c r="I194">
        <v>8.8200000000000001E-2</v>
      </c>
      <c r="J194">
        <v>62745.446413775258</v>
      </c>
      <c r="K194" t="s">
        <v>28</v>
      </c>
    </row>
    <row r="195" spans="1:11">
      <c r="A195" t="s">
        <v>18</v>
      </c>
      <c r="B195" t="s">
        <v>11</v>
      </c>
      <c r="C195" t="s">
        <v>20</v>
      </c>
      <c r="D195" t="s">
        <v>13</v>
      </c>
      <c r="E195" t="s">
        <v>22</v>
      </c>
      <c r="F195">
        <v>119062.86</v>
      </c>
      <c r="G195" t="s">
        <v>16</v>
      </c>
      <c r="H195" s="3">
        <v>45786</v>
      </c>
      <c r="I195">
        <v>0.18240000000000001</v>
      </c>
      <c r="J195">
        <v>80814.071424459224</v>
      </c>
      <c r="K195" t="s">
        <v>28</v>
      </c>
    </row>
    <row r="196" spans="1:11">
      <c r="A196" t="s">
        <v>18</v>
      </c>
      <c r="B196" t="s">
        <v>12</v>
      </c>
      <c r="C196" t="s">
        <v>20</v>
      </c>
      <c r="D196" t="s">
        <v>14</v>
      </c>
      <c r="E196" t="s">
        <v>22</v>
      </c>
      <c r="F196">
        <v>191698.4</v>
      </c>
      <c r="G196" t="s">
        <v>24</v>
      </c>
      <c r="H196" s="3">
        <v>45888</v>
      </c>
      <c r="J196">
        <v>148553.5722418667</v>
      </c>
      <c r="K196" t="s">
        <v>28</v>
      </c>
    </row>
    <row r="197" spans="1:11">
      <c r="A197" t="s">
        <v>18</v>
      </c>
      <c r="B197" t="s">
        <v>25</v>
      </c>
      <c r="C197" t="s">
        <v>20</v>
      </c>
      <c r="D197" t="s">
        <v>26</v>
      </c>
      <c r="E197" t="s">
        <v>22</v>
      </c>
      <c r="F197">
        <v>89607.26</v>
      </c>
      <c r="G197" t="s">
        <v>23</v>
      </c>
      <c r="H197" s="3">
        <v>45667</v>
      </c>
      <c r="I197">
        <v>8.2699999999999996E-2</v>
      </c>
      <c r="J197">
        <v>65192.178171424508</v>
      </c>
      <c r="K197" t="s">
        <v>28</v>
      </c>
    </row>
    <row r="198" spans="1:11">
      <c r="A198" t="s">
        <v>19</v>
      </c>
      <c r="B198" t="s">
        <v>25</v>
      </c>
      <c r="C198" t="s">
        <v>21</v>
      </c>
      <c r="D198" t="s">
        <v>26</v>
      </c>
      <c r="E198" t="s">
        <v>22</v>
      </c>
      <c r="F198">
        <v>52876.14</v>
      </c>
      <c r="G198" t="s">
        <v>24</v>
      </c>
      <c r="H198" s="3">
        <v>45896</v>
      </c>
      <c r="I198">
        <v>0.18310000000000001</v>
      </c>
      <c r="J198">
        <v>42022.911489494407</v>
      </c>
      <c r="K198" t="s">
        <v>28</v>
      </c>
    </row>
    <row r="199" spans="1:11">
      <c r="A199" t="s">
        <v>25</v>
      </c>
      <c r="B199" t="s">
        <v>11</v>
      </c>
      <c r="C199" t="s">
        <v>26</v>
      </c>
      <c r="D199" t="s">
        <v>13</v>
      </c>
      <c r="E199" t="s">
        <v>27</v>
      </c>
      <c r="F199">
        <v>11063.93</v>
      </c>
      <c r="G199" t="s">
        <v>23</v>
      </c>
      <c r="H199" s="3">
        <v>45937</v>
      </c>
      <c r="I199">
        <v>0.11849999999999999</v>
      </c>
      <c r="J199">
        <v>10436.862809346499</v>
      </c>
      <c r="K199" t="s">
        <v>28</v>
      </c>
    </row>
    <row r="200" spans="1:11">
      <c r="A200" t="s">
        <v>25</v>
      </c>
      <c r="B200" t="s">
        <v>12</v>
      </c>
      <c r="C200" t="s">
        <v>26</v>
      </c>
      <c r="D200" t="s">
        <v>14</v>
      </c>
      <c r="E200" t="s">
        <v>27</v>
      </c>
      <c r="F200">
        <v>101494.39999999999</v>
      </c>
      <c r="G200" t="s">
        <v>24</v>
      </c>
      <c r="H200" s="3">
        <v>45897</v>
      </c>
      <c r="I200">
        <v>0.1104</v>
      </c>
      <c r="J200">
        <v>65948.771261754722</v>
      </c>
      <c r="K200" t="s">
        <v>28</v>
      </c>
    </row>
    <row r="201" spans="1:11">
      <c r="A201" t="s">
        <v>18</v>
      </c>
      <c r="B201" t="s">
        <v>11</v>
      </c>
      <c r="C201" t="s">
        <v>20</v>
      </c>
      <c r="D201" t="s">
        <v>13</v>
      </c>
      <c r="E201" t="s">
        <v>22</v>
      </c>
      <c r="F201">
        <v>107885.66</v>
      </c>
      <c r="G201" t="s">
        <v>24</v>
      </c>
      <c r="H201" s="3">
        <v>45713</v>
      </c>
      <c r="I201">
        <v>8.77E-2</v>
      </c>
      <c r="K201" t="s">
        <v>28</v>
      </c>
    </row>
    <row r="202" spans="1:11">
      <c r="A202" t="s">
        <v>12</v>
      </c>
      <c r="B202" t="s">
        <v>25</v>
      </c>
      <c r="C202" t="s">
        <v>14</v>
      </c>
      <c r="D202" t="s">
        <v>26</v>
      </c>
      <c r="E202" t="s">
        <v>15</v>
      </c>
      <c r="F202">
        <v>193356.95</v>
      </c>
      <c r="G202" t="s">
        <v>16</v>
      </c>
      <c r="H202" s="3">
        <v>45775</v>
      </c>
      <c r="I202">
        <v>3.0800000000000001E-2</v>
      </c>
      <c r="J202">
        <v>168604.24021210821</v>
      </c>
      <c r="K202" t="s">
        <v>28</v>
      </c>
    </row>
    <row r="203" spans="1:11">
      <c r="A203" t="s">
        <v>11</v>
      </c>
      <c r="B203" t="s">
        <v>25</v>
      </c>
      <c r="C203" t="s">
        <v>13</v>
      </c>
      <c r="D203" t="s">
        <v>26</v>
      </c>
      <c r="E203" t="s">
        <v>22</v>
      </c>
      <c r="F203">
        <v>153688.60999999999</v>
      </c>
      <c r="G203" t="s">
        <v>16</v>
      </c>
      <c r="H203" s="3">
        <v>45745</v>
      </c>
      <c r="I203">
        <v>4.5900000000000003E-2</v>
      </c>
      <c r="J203">
        <v>129317.9555231651</v>
      </c>
      <c r="K203" t="s">
        <v>28</v>
      </c>
    </row>
    <row r="204" spans="1:11">
      <c r="A204" t="s">
        <v>25</v>
      </c>
      <c r="B204" t="s">
        <v>18</v>
      </c>
      <c r="C204" t="s">
        <v>26</v>
      </c>
      <c r="D204" t="s">
        <v>20</v>
      </c>
      <c r="E204" t="s">
        <v>27</v>
      </c>
      <c r="F204">
        <v>118983.25</v>
      </c>
      <c r="G204" t="s">
        <v>24</v>
      </c>
      <c r="H204" s="3">
        <v>45668</v>
      </c>
      <c r="I204">
        <v>9.0700000000000003E-2</v>
      </c>
      <c r="J204">
        <v>103074.4443096422</v>
      </c>
      <c r="K204" t="s">
        <v>28</v>
      </c>
    </row>
    <row r="205" spans="1:11">
      <c r="A205" t="s">
        <v>11</v>
      </c>
      <c r="B205" t="s">
        <v>12</v>
      </c>
      <c r="C205" t="s">
        <v>13</v>
      </c>
      <c r="D205" t="s">
        <v>14</v>
      </c>
      <c r="E205" t="s">
        <v>22</v>
      </c>
      <c r="F205">
        <v>112209.11</v>
      </c>
      <c r="G205" t="s">
        <v>24</v>
      </c>
      <c r="H205" s="3">
        <v>45932</v>
      </c>
      <c r="I205">
        <v>0.152</v>
      </c>
      <c r="J205">
        <v>101050.79403143471</v>
      </c>
      <c r="K205" t="s">
        <v>28</v>
      </c>
    </row>
    <row r="206" spans="1:11">
      <c r="A206" t="s">
        <v>25</v>
      </c>
      <c r="B206" t="s">
        <v>18</v>
      </c>
      <c r="C206" t="s">
        <v>26</v>
      </c>
      <c r="D206" t="s">
        <v>20</v>
      </c>
      <c r="E206" t="s">
        <v>22</v>
      </c>
      <c r="F206">
        <v>23648.17</v>
      </c>
      <c r="G206" t="s">
        <v>23</v>
      </c>
      <c r="H206" s="3">
        <v>45726</v>
      </c>
      <c r="I206">
        <v>3.0099999999999998E-2</v>
      </c>
      <c r="J206">
        <v>20317.734970319019</v>
      </c>
      <c r="K206" t="s">
        <v>28</v>
      </c>
    </row>
    <row r="207" spans="1:11">
      <c r="A207" t="s">
        <v>25</v>
      </c>
      <c r="B207" t="s">
        <v>11</v>
      </c>
      <c r="C207" t="s">
        <v>26</v>
      </c>
      <c r="D207" t="s">
        <v>13</v>
      </c>
      <c r="E207" t="s">
        <v>15</v>
      </c>
      <c r="F207">
        <v>23349.55</v>
      </c>
      <c r="G207" t="s">
        <v>24</v>
      </c>
      <c r="H207" s="3">
        <v>45947</v>
      </c>
      <c r="I207">
        <v>0.17530000000000001</v>
      </c>
      <c r="J207">
        <v>18680.567734918171</v>
      </c>
      <c r="K207" t="s">
        <v>28</v>
      </c>
    </row>
    <row r="208" spans="1:11">
      <c r="A208" t="s">
        <v>11</v>
      </c>
      <c r="B208" t="s">
        <v>19</v>
      </c>
      <c r="C208" t="s">
        <v>13</v>
      </c>
      <c r="D208" t="s">
        <v>21</v>
      </c>
      <c r="E208" t="s">
        <v>15</v>
      </c>
      <c r="F208">
        <v>146186.20000000001</v>
      </c>
      <c r="G208" t="s">
        <v>16</v>
      </c>
      <c r="H208" s="3">
        <v>46018</v>
      </c>
      <c r="I208">
        <v>7.6399999999999996E-2</v>
      </c>
      <c r="J208">
        <v>115486.5579058585</v>
      </c>
      <c r="K208" t="s">
        <v>28</v>
      </c>
    </row>
    <row r="209" spans="1:11">
      <c r="A209" t="s">
        <v>11</v>
      </c>
      <c r="B209" t="s">
        <v>25</v>
      </c>
      <c r="C209" t="s">
        <v>13</v>
      </c>
      <c r="D209" t="s">
        <v>26</v>
      </c>
      <c r="E209" t="s">
        <v>27</v>
      </c>
      <c r="F209">
        <v>68563.61</v>
      </c>
      <c r="G209" t="s">
        <v>24</v>
      </c>
      <c r="H209" s="3">
        <v>45786</v>
      </c>
      <c r="I209">
        <v>0.15720000000000001</v>
      </c>
      <c r="J209">
        <v>59177.094253884112</v>
      </c>
      <c r="K209" t="s">
        <v>28</v>
      </c>
    </row>
    <row r="210" spans="1:11">
      <c r="A210" t="s">
        <v>12</v>
      </c>
      <c r="B210" t="s">
        <v>25</v>
      </c>
      <c r="C210" t="s">
        <v>14</v>
      </c>
      <c r="D210" t="s">
        <v>26</v>
      </c>
      <c r="E210" t="s">
        <v>22</v>
      </c>
      <c r="F210">
        <v>70709.67</v>
      </c>
      <c r="G210" t="s">
        <v>24</v>
      </c>
      <c r="H210" s="3">
        <v>45977</v>
      </c>
      <c r="J210">
        <v>58466.223901931633</v>
      </c>
      <c r="K210" t="s">
        <v>28</v>
      </c>
    </row>
    <row r="211" spans="1:11">
      <c r="A211" t="s">
        <v>25</v>
      </c>
      <c r="B211" t="s">
        <v>18</v>
      </c>
      <c r="C211" t="s">
        <v>26</v>
      </c>
      <c r="D211" t="s">
        <v>20</v>
      </c>
      <c r="E211" t="s">
        <v>22</v>
      </c>
      <c r="F211">
        <v>13330.08</v>
      </c>
      <c r="G211" t="s">
        <v>16</v>
      </c>
      <c r="H211" s="3">
        <v>45946</v>
      </c>
      <c r="J211">
        <v>10113.556405593779</v>
      </c>
      <c r="K211" t="s">
        <v>28</v>
      </c>
    </row>
    <row r="212" spans="1:11">
      <c r="A212" t="s">
        <v>11</v>
      </c>
      <c r="B212" t="s">
        <v>12</v>
      </c>
      <c r="C212" t="s">
        <v>13</v>
      </c>
      <c r="D212" t="s">
        <v>14</v>
      </c>
      <c r="E212" t="s">
        <v>27</v>
      </c>
      <c r="F212">
        <v>170301.59</v>
      </c>
      <c r="G212" t="s">
        <v>16</v>
      </c>
      <c r="H212" s="3">
        <v>45768</v>
      </c>
      <c r="I212">
        <v>9.6299999999999997E-2</v>
      </c>
      <c r="J212">
        <v>141294.21242944829</v>
      </c>
      <c r="K212" t="s">
        <v>28</v>
      </c>
    </row>
    <row r="213" spans="1:11">
      <c r="A213" t="s">
        <v>12</v>
      </c>
      <c r="B213" t="s">
        <v>25</v>
      </c>
      <c r="C213" t="s">
        <v>14</v>
      </c>
      <c r="D213" t="s">
        <v>26</v>
      </c>
      <c r="E213" t="s">
        <v>22</v>
      </c>
      <c r="F213">
        <v>17351.97</v>
      </c>
      <c r="G213" t="s">
        <v>23</v>
      </c>
      <c r="H213" s="3">
        <v>46013</v>
      </c>
      <c r="K213" t="s">
        <v>28</v>
      </c>
    </row>
    <row r="214" spans="1:11">
      <c r="A214" t="s">
        <v>11</v>
      </c>
      <c r="B214" t="s">
        <v>25</v>
      </c>
      <c r="C214" t="s">
        <v>13</v>
      </c>
      <c r="D214" t="s">
        <v>26</v>
      </c>
      <c r="E214" t="s">
        <v>15</v>
      </c>
      <c r="F214">
        <v>99855.94</v>
      </c>
      <c r="G214" t="s">
        <v>23</v>
      </c>
      <c r="H214" s="3">
        <v>45722</v>
      </c>
      <c r="J214">
        <v>81370.298917130291</v>
      </c>
      <c r="K214" t="s">
        <v>28</v>
      </c>
    </row>
    <row r="215" spans="1:11">
      <c r="A215" t="s">
        <v>11</v>
      </c>
      <c r="B215" t="s">
        <v>12</v>
      </c>
      <c r="C215" t="s">
        <v>13</v>
      </c>
      <c r="D215" t="s">
        <v>14</v>
      </c>
      <c r="E215" t="s">
        <v>27</v>
      </c>
      <c r="F215">
        <v>84662.51</v>
      </c>
      <c r="G215" t="s">
        <v>16</v>
      </c>
      <c r="H215" s="3">
        <v>45924</v>
      </c>
      <c r="J215">
        <v>58488.666436587133</v>
      </c>
      <c r="K215" t="s">
        <v>28</v>
      </c>
    </row>
    <row r="216" spans="1:11">
      <c r="A216" t="s">
        <v>12</v>
      </c>
      <c r="B216" t="s">
        <v>18</v>
      </c>
      <c r="C216" t="s">
        <v>14</v>
      </c>
      <c r="D216" t="s">
        <v>20</v>
      </c>
      <c r="E216" t="s">
        <v>22</v>
      </c>
      <c r="F216">
        <v>7355.37</v>
      </c>
      <c r="G216" t="s">
        <v>23</v>
      </c>
      <c r="H216" s="3">
        <v>45986</v>
      </c>
      <c r="I216">
        <v>9.9500000000000005E-2</v>
      </c>
      <c r="J216">
        <v>5809.6967794050906</v>
      </c>
      <c r="K216" t="s">
        <v>28</v>
      </c>
    </row>
    <row r="217" spans="1:11">
      <c r="A217" t="s">
        <v>11</v>
      </c>
      <c r="B217" t="s">
        <v>12</v>
      </c>
      <c r="C217" t="s">
        <v>13</v>
      </c>
      <c r="D217" t="s">
        <v>14</v>
      </c>
      <c r="E217" t="s">
        <v>27</v>
      </c>
      <c r="F217">
        <v>190535.55</v>
      </c>
      <c r="G217" t="s">
        <v>16</v>
      </c>
      <c r="H217" s="3">
        <v>45888</v>
      </c>
      <c r="J217">
        <v>119604.9634559534</v>
      </c>
      <c r="K217" t="s">
        <v>28</v>
      </c>
    </row>
    <row r="218" spans="1:11">
      <c r="A218" t="s">
        <v>11</v>
      </c>
      <c r="B218" t="s">
        <v>25</v>
      </c>
      <c r="C218" t="s">
        <v>13</v>
      </c>
      <c r="D218" t="s">
        <v>26</v>
      </c>
      <c r="E218" t="s">
        <v>27</v>
      </c>
      <c r="F218">
        <v>19005.900000000001</v>
      </c>
      <c r="G218" t="s">
        <v>23</v>
      </c>
      <c r="H218" s="3">
        <v>45932</v>
      </c>
      <c r="I218">
        <v>8.5400000000000004E-2</v>
      </c>
      <c r="J218">
        <v>12630.51747078568</v>
      </c>
      <c r="K218" t="s">
        <v>28</v>
      </c>
    </row>
    <row r="219" spans="1:11">
      <c r="A219" t="s">
        <v>19</v>
      </c>
      <c r="B219" t="s">
        <v>11</v>
      </c>
      <c r="C219" t="s">
        <v>21</v>
      </c>
      <c r="D219" t="s">
        <v>13</v>
      </c>
      <c r="E219" t="s">
        <v>27</v>
      </c>
      <c r="F219">
        <v>49265.23</v>
      </c>
      <c r="G219" t="s">
        <v>23</v>
      </c>
      <c r="H219" s="3">
        <v>45676</v>
      </c>
      <c r="I219">
        <v>0.1232</v>
      </c>
      <c r="K219" t="s">
        <v>28</v>
      </c>
    </row>
    <row r="220" spans="1:11">
      <c r="A220" t="s">
        <v>12</v>
      </c>
      <c r="B220" t="s">
        <v>11</v>
      </c>
      <c r="C220" t="s">
        <v>14</v>
      </c>
      <c r="D220" t="s">
        <v>13</v>
      </c>
      <c r="E220" t="s">
        <v>22</v>
      </c>
      <c r="F220">
        <v>192895.58</v>
      </c>
      <c r="G220" t="s">
        <v>24</v>
      </c>
      <c r="H220" s="3">
        <v>45877</v>
      </c>
      <c r="I220">
        <v>7.5700000000000003E-2</v>
      </c>
      <c r="J220">
        <v>157305.67045604231</v>
      </c>
      <c r="K220" t="s">
        <v>28</v>
      </c>
    </row>
    <row r="221" spans="1:11">
      <c r="A221" t="s">
        <v>25</v>
      </c>
      <c r="B221" t="s">
        <v>18</v>
      </c>
      <c r="C221" t="s">
        <v>26</v>
      </c>
      <c r="D221" t="s">
        <v>20</v>
      </c>
      <c r="E221" t="s">
        <v>27</v>
      </c>
      <c r="F221">
        <v>109262.42</v>
      </c>
      <c r="G221" t="s">
        <v>24</v>
      </c>
      <c r="H221" s="3">
        <v>45679</v>
      </c>
      <c r="K221" t="s">
        <v>28</v>
      </c>
    </row>
    <row r="222" spans="1:11">
      <c r="A222" t="s">
        <v>11</v>
      </c>
      <c r="B222" t="s">
        <v>18</v>
      </c>
      <c r="C222" t="s">
        <v>13</v>
      </c>
      <c r="D222" t="s">
        <v>20</v>
      </c>
      <c r="E222" t="s">
        <v>15</v>
      </c>
      <c r="F222">
        <v>165402.74</v>
      </c>
      <c r="G222" t="s">
        <v>16</v>
      </c>
      <c r="H222" s="3">
        <v>45680</v>
      </c>
      <c r="I222">
        <v>0.17710000000000001</v>
      </c>
      <c r="K222" t="s">
        <v>28</v>
      </c>
    </row>
    <row r="223" spans="1:11">
      <c r="A223" t="s">
        <v>12</v>
      </c>
      <c r="B223" t="s">
        <v>19</v>
      </c>
      <c r="C223" t="s">
        <v>14</v>
      </c>
      <c r="D223" t="s">
        <v>21</v>
      </c>
      <c r="E223" t="s">
        <v>22</v>
      </c>
      <c r="F223">
        <v>187814.3</v>
      </c>
      <c r="G223" t="s">
        <v>16</v>
      </c>
      <c r="H223" s="3">
        <v>45664</v>
      </c>
      <c r="I223">
        <v>0.1943</v>
      </c>
      <c r="J223">
        <v>155871.99925460611</v>
      </c>
      <c r="K223" t="s">
        <v>28</v>
      </c>
    </row>
    <row r="224" spans="1:11">
      <c r="A224" t="s">
        <v>25</v>
      </c>
      <c r="B224" t="s">
        <v>12</v>
      </c>
      <c r="C224" t="s">
        <v>26</v>
      </c>
      <c r="D224" t="s">
        <v>14</v>
      </c>
      <c r="E224" t="s">
        <v>15</v>
      </c>
      <c r="F224">
        <v>90428.12</v>
      </c>
      <c r="G224" t="s">
        <v>16</v>
      </c>
      <c r="H224" s="3">
        <v>45742</v>
      </c>
      <c r="I224">
        <v>0.02</v>
      </c>
      <c r="J224">
        <v>81263.989710359077</v>
      </c>
      <c r="K224" t="s">
        <v>28</v>
      </c>
    </row>
    <row r="225" spans="1:11">
      <c r="A225" t="s">
        <v>12</v>
      </c>
      <c r="B225" t="s">
        <v>19</v>
      </c>
      <c r="C225" t="s">
        <v>14</v>
      </c>
      <c r="D225" t="s">
        <v>21</v>
      </c>
      <c r="E225" t="s">
        <v>22</v>
      </c>
      <c r="F225">
        <v>64531.22</v>
      </c>
      <c r="G225" t="s">
        <v>16</v>
      </c>
      <c r="H225" s="3">
        <v>45675</v>
      </c>
      <c r="I225">
        <v>8.0600000000000005E-2</v>
      </c>
      <c r="J225">
        <v>54435.061984227737</v>
      </c>
      <c r="K225" t="s">
        <v>28</v>
      </c>
    </row>
    <row r="226" spans="1:11">
      <c r="A226" t="s">
        <v>19</v>
      </c>
      <c r="B226" t="s">
        <v>11</v>
      </c>
      <c r="C226" t="s">
        <v>21</v>
      </c>
      <c r="D226" t="s">
        <v>13</v>
      </c>
      <c r="E226" t="s">
        <v>22</v>
      </c>
      <c r="F226">
        <v>91906.23</v>
      </c>
      <c r="G226" t="s">
        <v>16</v>
      </c>
      <c r="H226" s="3">
        <v>46010</v>
      </c>
      <c r="I226">
        <v>0.13780000000000001</v>
      </c>
      <c r="J226">
        <v>77070.346611647008</v>
      </c>
      <c r="K226" t="s">
        <v>28</v>
      </c>
    </row>
    <row r="227" spans="1:11">
      <c r="A227" t="s">
        <v>25</v>
      </c>
      <c r="B227" t="s">
        <v>18</v>
      </c>
      <c r="C227" t="s">
        <v>26</v>
      </c>
      <c r="D227" t="s">
        <v>20</v>
      </c>
      <c r="E227" t="s">
        <v>22</v>
      </c>
      <c r="F227">
        <v>32724.68</v>
      </c>
      <c r="G227" t="s">
        <v>16</v>
      </c>
      <c r="H227" s="3">
        <v>45761</v>
      </c>
      <c r="I227">
        <v>0.14660000000000001</v>
      </c>
      <c r="J227">
        <v>26664.187567472502</v>
      </c>
      <c r="K227" t="s">
        <v>28</v>
      </c>
    </row>
    <row r="228" spans="1:11">
      <c r="A228" t="s">
        <v>19</v>
      </c>
      <c r="B228" t="s">
        <v>12</v>
      </c>
      <c r="C228" t="s">
        <v>21</v>
      </c>
      <c r="D228" t="s">
        <v>14</v>
      </c>
      <c r="E228" t="s">
        <v>27</v>
      </c>
      <c r="F228">
        <v>67917.31</v>
      </c>
      <c r="G228" t="s">
        <v>23</v>
      </c>
      <c r="H228" s="3">
        <v>46021</v>
      </c>
      <c r="I228">
        <v>0.10050000000000001</v>
      </c>
      <c r="J228">
        <v>63519.177645467353</v>
      </c>
      <c r="K228" t="s">
        <v>28</v>
      </c>
    </row>
    <row r="229" spans="1:11">
      <c r="A229" t="s">
        <v>12</v>
      </c>
      <c r="B229" t="s">
        <v>25</v>
      </c>
      <c r="C229" t="s">
        <v>14</v>
      </c>
      <c r="D229" t="s">
        <v>26</v>
      </c>
      <c r="E229" t="s">
        <v>15</v>
      </c>
      <c r="F229">
        <v>137135.93</v>
      </c>
      <c r="G229" t="s">
        <v>23</v>
      </c>
      <c r="H229" s="3">
        <v>45885</v>
      </c>
      <c r="I229">
        <v>0.12570000000000001</v>
      </c>
      <c r="K229" t="s">
        <v>28</v>
      </c>
    </row>
    <row r="230" spans="1:11">
      <c r="A230" t="s">
        <v>18</v>
      </c>
      <c r="B230" t="s">
        <v>12</v>
      </c>
      <c r="C230" t="s">
        <v>20</v>
      </c>
      <c r="D230" t="s">
        <v>14</v>
      </c>
      <c r="E230" t="s">
        <v>22</v>
      </c>
      <c r="F230">
        <v>99423.99</v>
      </c>
      <c r="G230" t="s">
        <v>23</v>
      </c>
      <c r="H230" s="3">
        <v>45721</v>
      </c>
      <c r="J230">
        <v>65974.110784875811</v>
      </c>
      <c r="K230" t="s">
        <v>28</v>
      </c>
    </row>
    <row r="231" spans="1:11">
      <c r="A231" t="s">
        <v>19</v>
      </c>
      <c r="B231" t="s">
        <v>11</v>
      </c>
      <c r="C231" t="s">
        <v>21</v>
      </c>
      <c r="D231" t="s">
        <v>13</v>
      </c>
      <c r="E231" t="s">
        <v>22</v>
      </c>
      <c r="F231">
        <v>81287.33</v>
      </c>
      <c r="G231" t="s">
        <v>16</v>
      </c>
      <c r="H231" s="3">
        <v>45740</v>
      </c>
      <c r="I231">
        <v>0.18640000000000001</v>
      </c>
      <c r="J231">
        <v>73614.65148279928</v>
      </c>
      <c r="K231" t="s">
        <v>28</v>
      </c>
    </row>
    <row r="232" spans="1:11">
      <c r="A232" t="s">
        <v>18</v>
      </c>
      <c r="B232" t="s">
        <v>12</v>
      </c>
      <c r="C232" t="s">
        <v>20</v>
      </c>
      <c r="D232" t="s">
        <v>14</v>
      </c>
      <c r="E232" t="s">
        <v>27</v>
      </c>
      <c r="F232">
        <v>180348.09</v>
      </c>
      <c r="G232" t="s">
        <v>23</v>
      </c>
      <c r="H232" s="3">
        <v>45800</v>
      </c>
      <c r="K232" t="s">
        <v>28</v>
      </c>
    </row>
    <row r="233" spans="1:11">
      <c r="A233" t="s">
        <v>19</v>
      </c>
      <c r="B233" t="s">
        <v>18</v>
      </c>
      <c r="C233" t="s">
        <v>21</v>
      </c>
      <c r="D233" t="s">
        <v>20</v>
      </c>
      <c r="E233" t="s">
        <v>15</v>
      </c>
      <c r="F233">
        <v>20432</v>
      </c>
      <c r="G233" t="s">
        <v>24</v>
      </c>
      <c r="H233" s="3">
        <v>45925</v>
      </c>
      <c r="I233">
        <v>0.1787</v>
      </c>
      <c r="J233">
        <v>14880.202161218989</v>
      </c>
      <c r="K233" t="s">
        <v>28</v>
      </c>
    </row>
    <row r="234" spans="1:11">
      <c r="A234" t="s">
        <v>25</v>
      </c>
      <c r="B234" t="s">
        <v>18</v>
      </c>
      <c r="C234" t="s">
        <v>26</v>
      </c>
      <c r="D234" t="s">
        <v>20</v>
      </c>
      <c r="E234" t="s">
        <v>27</v>
      </c>
      <c r="F234">
        <v>88719.49</v>
      </c>
      <c r="G234" t="s">
        <v>23</v>
      </c>
      <c r="H234" s="3">
        <v>45885</v>
      </c>
      <c r="J234">
        <v>84056.864331933975</v>
      </c>
      <c r="K234" t="s">
        <v>28</v>
      </c>
    </row>
    <row r="235" spans="1:11">
      <c r="A235" t="s">
        <v>12</v>
      </c>
      <c r="B235" t="s">
        <v>11</v>
      </c>
      <c r="C235" t="s">
        <v>14</v>
      </c>
      <c r="D235" t="s">
        <v>13</v>
      </c>
      <c r="E235" t="s">
        <v>27</v>
      </c>
      <c r="F235">
        <v>77209.61</v>
      </c>
      <c r="G235" t="s">
        <v>24</v>
      </c>
      <c r="H235" s="3">
        <v>45742</v>
      </c>
      <c r="I235">
        <v>3.3399999999999999E-2</v>
      </c>
      <c r="J235">
        <v>73103.639335567656</v>
      </c>
      <c r="K235" t="s">
        <v>28</v>
      </c>
    </row>
    <row r="236" spans="1:11">
      <c r="A236" t="s">
        <v>11</v>
      </c>
      <c r="B236" t="s">
        <v>25</v>
      </c>
      <c r="C236" t="s">
        <v>13</v>
      </c>
      <c r="D236" t="s">
        <v>26</v>
      </c>
      <c r="E236" t="s">
        <v>15</v>
      </c>
      <c r="F236">
        <v>23772.29</v>
      </c>
      <c r="G236" t="s">
        <v>23</v>
      </c>
      <c r="H236" s="3">
        <v>45708</v>
      </c>
      <c r="I236">
        <v>9.2999999999999999E-2</v>
      </c>
      <c r="J236">
        <v>16971.335560415821</v>
      </c>
      <c r="K236" t="s">
        <v>28</v>
      </c>
    </row>
    <row r="237" spans="1:11">
      <c r="A237" t="s">
        <v>11</v>
      </c>
      <c r="B237" t="s">
        <v>25</v>
      </c>
      <c r="C237" t="s">
        <v>13</v>
      </c>
      <c r="D237" t="s">
        <v>26</v>
      </c>
      <c r="E237" t="s">
        <v>27</v>
      </c>
      <c r="F237">
        <v>165118.76999999999</v>
      </c>
      <c r="G237" t="s">
        <v>16</v>
      </c>
      <c r="H237" s="3">
        <v>45805</v>
      </c>
      <c r="I237">
        <v>4.58E-2</v>
      </c>
      <c r="J237">
        <v>155372.53879277679</v>
      </c>
      <c r="K237" t="s">
        <v>28</v>
      </c>
    </row>
    <row r="238" spans="1:11">
      <c r="A238" t="s">
        <v>25</v>
      </c>
      <c r="B238" t="s">
        <v>11</v>
      </c>
      <c r="C238" t="s">
        <v>26</v>
      </c>
      <c r="D238" t="s">
        <v>13</v>
      </c>
      <c r="E238" t="s">
        <v>22</v>
      </c>
      <c r="F238">
        <v>118764.23</v>
      </c>
      <c r="G238" t="s">
        <v>23</v>
      </c>
      <c r="H238" s="3">
        <v>45958</v>
      </c>
      <c r="I238">
        <v>6.88E-2</v>
      </c>
      <c r="J238">
        <v>77302.600728041973</v>
      </c>
      <c r="K238" t="s">
        <v>28</v>
      </c>
    </row>
    <row r="239" spans="1:11">
      <c r="A239" t="s">
        <v>12</v>
      </c>
      <c r="B239" t="s">
        <v>25</v>
      </c>
      <c r="C239" t="s">
        <v>14</v>
      </c>
      <c r="D239" t="s">
        <v>26</v>
      </c>
      <c r="E239" t="s">
        <v>27</v>
      </c>
      <c r="F239">
        <v>157280.13</v>
      </c>
      <c r="G239" t="s">
        <v>24</v>
      </c>
      <c r="H239" s="3">
        <v>45878</v>
      </c>
      <c r="I239">
        <v>5.9700000000000003E-2</v>
      </c>
      <c r="J239">
        <v>121848.2294644299</v>
      </c>
      <c r="K239" t="s">
        <v>28</v>
      </c>
    </row>
    <row r="240" spans="1:11">
      <c r="A240" t="s">
        <v>18</v>
      </c>
      <c r="B240" t="s">
        <v>25</v>
      </c>
      <c r="C240" t="s">
        <v>20</v>
      </c>
      <c r="D240" t="s">
        <v>26</v>
      </c>
      <c r="E240" t="s">
        <v>22</v>
      </c>
      <c r="F240">
        <v>157556.17000000001</v>
      </c>
      <c r="G240" t="s">
        <v>24</v>
      </c>
      <c r="H240" s="3">
        <v>45924</v>
      </c>
      <c r="I240">
        <v>1.1299999999999999E-2</v>
      </c>
      <c r="J240">
        <v>116471.9974414374</v>
      </c>
      <c r="K240" t="s">
        <v>28</v>
      </c>
    </row>
    <row r="241" spans="1:11">
      <c r="A241" t="s">
        <v>11</v>
      </c>
      <c r="B241" t="s">
        <v>25</v>
      </c>
      <c r="C241" t="s">
        <v>13</v>
      </c>
      <c r="D241" t="s">
        <v>26</v>
      </c>
      <c r="E241" t="s">
        <v>27</v>
      </c>
      <c r="F241">
        <v>39574.6</v>
      </c>
      <c r="G241" t="s">
        <v>16</v>
      </c>
      <c r="H241" s="3">
        <v>45816</v>
      </c>
      <c r="I241">
        <v>0.13719999999999999</v>
      </c>
      <c r="J241">
        <v>28483.59355059508</v>
      </c>
      <c r="K241" t="s">
        <v>28</v>
      </c>
    </row>
    <row r="242" spans="1:11">
      <c r="A242" t="s">
        <v>19</v>
      </c>
      <c r="B242" t="s">
        <v>25</v>
      </c>
      <c r="C242" t="s">
        <v>21</v>
      </c>
      <c r="D242" t="s">
        <v>26</v>
      </c>
      <c r="E242" t="s">
        <v>27</v>
      </c>
      <c r="F242">
        <v>61693.93</v>
      </c>
      <c r="G242" t="s">
        <v>23</v>
      </c>
      <c r="H242" s="3">
        <v>45727</v>
      </c>
      <c r="I242">
        <v>0.19650000000000001</v>
      </c>
      <c r="J242">
        <v>55758.709397876031</v>
      </c>
      <c r="K242" t="s">
        <v>28</v>
      </c>
    </row>
    <row r="243" spans="1:11">
      <c r="A243" t="s">
        <v>19</v>
      </c>
      <c r="B243" t="s">
        <v>11</v>
      </c>
      <c r="C243" t="s">
        <v>21</v>
      </c>
      <c r="D243" t="s">
        <v>13</v>
      </c>
      <c r="E243" t="s">
        <v>22</v>
      </c>
      <c r="F243">
        <v>52632</v>
      </c>
      <c r="G243" t="s">
        <v>23</v>
      </c>
      <c r="H243" s="3">
        <v>45713</v>
      </c>
      <c r="I243">
        <v>2.5100000000000001E-2</v>
      </c>
      <c r="J243">
        <v>42908.527672836681</v>
      </c>
      <c r="K243" t="s">
        <v>28</v>
      </c>
    </row>
    <row r="244" spans="1:11">
      <c r="A244" t="s">
        <v>25</v>
      </c>
      <c r="B244" t="s">
        <v>19</v>
      </c>
      <c r="C244" t="s">
        <v>26</v>
      </c>
      <c r="D244" t="s">
        <v>21</v>
      </c>
      <c r="E244" t="s">
        <v>22</v>
      </c>
      <c r="F244">
        <v>103120.23</v>
      </c>
      <c r="G244" t="s">
        <v>24</v>
      </c>
      <c r="H244" s="3">
        <v>45757</v>
      </c>
      <c r="I244">
        <v>5.3900000000000003E-2</v>
      </c>
      <c r="K244" t="s">
        <v>28</v>
      </c>
    </row>
    <row r="245" spans="1:11">
      <c r="A245" t="s">
        <v>11</v>
      </c>
      <c r="B245" t="s">
        <v>12</v>
      </c>
      <c r="C245" t="s">
        <v>13</v>
      </c>
      <c r="D245" t="s">
        <v>14</v>
      </c>
      <c r="E245" t="s">
        <v>22</v>
      </c>
      <c r="F245">
        <v>86106.31</v>
      </c>
      <c r="G245" t="s">
        <v>23</v>
      </c>
      <c r="H245" s="3">
        <v>45669</v>
      </c>
      <c r="I245">
        <v>0.12759999999999999</v>
      </c>
      <c r="J245">
        <v>78437.568690958491</v>
      </c>
      <c r="K245" t="s">
        <v>28</v>
      </c>
    </row>
    <row r="246" spans="1:11">
      <c r="A246" t="s">
        <v>18</v>
      </c>
      <c r="B246" t="s">
        <v>12</v>
      </c>
      <c r="C246" t="s">
        <v>20</v>
      </c>
      <c r="D246" t="s">
        <v>14</v>
      </c>
      <c r="E246" t="s">
        <v>27</v>
      </c>
      <c r="F246">
        <v>116557.01</v>
      </c>
      <c r="G246" t="s">
        <v>24</v>
      </c>
      <c r="H246" s="3">
        <v>45996</v>
      </c>
      <c r="I246">
        <v>5.74E-2</v>
      </c>
      <c r="J246">
        <v>108785.1384436474</v>
      </c>
      <c r="K246" t="s">
        <v>28</v>
      </c>
    </row>
    <row r="247" spans="1:11">
      <c r="A247" t="s">
        <v>25</v>
      </c>
      <c r="B247" t="s">
        <v>19</v>
      </c>
      <c r="C247" t="s">
        <v>26</v>
      </c>
      <c r="D247" t="s">
        <v>21</v>
      </c>
      <c r="E247" t="s">
        <v>22</v>
      </c>
      <c r="F247">
        <v>31542.07</v>
      </c>
      <c r="G247" t="s">
        <v>24</v>
      </c>
      <c r="H247" s="3">
        <v>45959</v>
      </c>
      <c r="I247">
        <v>9.5600000000000004E-2</v>
      </c>
      <c r="J247">
        <v>29145.54075910844</v>
      </c>
      <c r="K247" t="s">
        <v>28</v>
      </c>
    </row>
    <row r="248" spans="1:11">
      <c r="A248" t="s">
        <v>25</v>
      </c>
      <c r="B248" t="s">
        <v>19</v>
      </c>
      <c r="C248" t="s">
        <v>26</v>
      </c>
      <c r="D248" t="s">
        <v>21</v>
      </c>
      <c r="E248" t="s">
        <v>22</v>
      </c>
      <c r="F248">
        <v>112778.56</v>
      </c>
      <c r="G248" t="s">
        <v>24</v>
      </c>
      <c r="H248" s="3">
        <v>45666</v>
      </c>
      <c r="I248">
        <v>8.5199999999999998E-2</v>
      </c>
      <c r="J248">
        <v>94769.94026442802</v>
      </c>
      <c r="K248" t="s">
        <v>28</v>
      </c>
    </row>
    <row r="249" spans="1:11">
      <c r="A249" t="s">
        <v>19</v>
      </c>
      <c r="B249" t="s">
        <v>18</v>
      </c>
      <c r="C249" t="s">
        <v>21</v>
      </c>
      <c r="D249" t="s">
        <v>20</v>
      </c>
      <c r="E249" t="s">
        <v>15</v>
      </c>
      <c r="F249">
        <v>133816.68</v>
      </c>
      <c r="G249" t="s">
        <v>16</v>
      </c>
      <c r="H249" s="3">
        <v>45921</v>
      </c>
      <c r="I249">
        <v>2.7E-2</v>
      </c>
      <c r="J249">
        <v>85205.601007406221</v>
      </c>
      <c r="K249" t="s">
        <v>28</v>
      </c>
    </row>
    <row r="250" spans="1:11">
      <c r="A250" t="s">
        <v>25</v>
      </c>
      <c r="B250" t="s">
        <v>19</v>
      </c>
      <c r="C250" t="s">
        <v>26</v>
      </c>
      <c r="D250" t="s">
        <v>21</v>
      </c>
      <c r="E250" t="s">
        <v>22</v>
      </c>
      <c r="F250">
        <v>113400.54</v>
      </c>
      <c r="G250" t="s">
        <v>23</v>
      </c>
      <c r="H250" s="3">
        <v>46021</v>
      </c>
      <c r="I250">
        <v>0.112</v>
      </c>
      <c r="J250">
        <v>94969.4208323614</v>
      </c>
      <c r="K250" t="s">
        <v>28</v>
      </c>
    </row>
    <row r="251" spans="1:11">
      <c r="A251" t="s">
        <v>19</v>
      </c>
      <c r="B251" t="s">
        <v>12</v>
      </c>
      <c r="C251" t="s">
        <v>21</v>
      </c>
      <c r="D251" t="s">
        <v>14</v>
      </c>
      <c r="E251" t="s">
        <v>15</v>
      </c>
      <c r="F251">
        <v>134038.22</v>
      </c>
      <c r="G251" t="s">
        <v>23</v>
      </c>
      <c r="H251" s="3">
        <v>45774</v>
      </c>
      <c r="I251">
        <v>0.1452</v>
      </c>
      <c r="J251">
        <v>109708.0036135805</v>
      </c>
      <c r="K251" t="s">
        <v>28</v>
      </c>
    </row>
    <row r="252" spans="1:11">
      <c r="A252" t="s">
        <v>11</v>
      </c>
      <c r="B252" t="s">
        <v>12</v>
      </c>
      <c r="C252" t="s">
        <v>13</v>
      </c>
      <c r="D252" t="s">
        <v>14</v>
      </c>
      <c r="E252" t="s">
        <v>15</v>
      </c>
      <c r="F252">
        <v>6036.72</v>
      </c>
      <c r="G252" t="s">
        <v>24</v>
      </c>
      <c r="H252" s="3">
        <v>45703</v>
      </c>
      <c r="I252">
        <v>6.2700000000000006E-2</v>
      </c>
      <c r="J252">
        <v>3734.208796487058</v>
      </c>
      <c r="K252" t="s">
        <v>28</v>
      </c>
    </row>
    <row r="253" spans="1:11">
      <c r="A253" t="s">
        <v>18</v>
      </c>
      <c r="B253" t="s">
        <v>11</v>
      </c>
      <c r="C253" t="s">
        <v>20</v>
      </c>
      <c r="D253" t="s">
        <v>13</v>
      </c>
      <c r="E253" t="s">
        <v>15</v>
      </c>
      <c r="F253">
        <v>186632.17</v>
      </c>
      <c r="G253" t="s">
        <v>16</v>
      </c>
      <c r="H253" s="3">
        <v>45994</v>
      </c>
      <c r="I253">
        <v>2.4199999999999999E-2</v>
      </c>
      <c r="J253">
        <v>161950.40181081899</v>
      </c>
      <c r="K253" t="s">
        <v>28</v>
      </c>
    </row>
    <row r="254" spans="1:11">
      <c r="A254" t="s">
        <v>11</v>
      </c>
      <c r="B254" t="s">
        <v>19</v>
      </c>
      <c r="C254" t="s">
        <v>13</v>
      </c>
      <c r="D254" t="s">
        <v>21</v>
      </c>
      <c r="E254" t="s">
        <v>27</v>
      </c>
      <c r="F254">
        <v>199711.5</v>
      </c>
      <c r="G254" t="s">
        <v>16</v>
      </c>
      <c r="H254" s="3">
        <v>45912</v>
      </c>
      <c r="I254">
        <v>3.6499999999999998E-2</v>
      </c>
      <c r="K254" t="s">
        <v>28</v>
      </c>
    </row>
    <row r="255" spans="1:11">
      <c r="A255" t="s">
        <v>25</v>
      </c>
      <c r="B255" t="s">
        <v>18</v>
      </c>
      <c r="C255" t="s">
        <v>26</v>
      </c>
      <c r="D255" t="s">
        <v>20</v>
      </c>
      <c r="E255" t="s">
        <v>15</v>
      </c>
      <c r="F255">
        <v>138608.73000000001</v>
      </c>
      <c r="G255" t="s">
        <v>24</v>
      </c>
      <c r="H255" s="3">
        <v>46002</v>
      </c>
      <c r="I255">
        <v>0.1026</v>
      </c>
      <c r="J255">
        <v>95479.737787367063</v>
      </c>
      <c r="K255" t="s">
        <v>28</v>
      </c>
    </row>
    <row r="256" spans="1:11">
      <c r="A256" t="s">
        <v>19</v>
      </c>
      <c r="B256" t="s">
        <v>12</v>
      </c>
      <c r="C256" t="s">
        <v>21</v>
      </c>
      <c r="D256" t="s">
        <v>14</v>
      </c>
      <c r="E256" t="s">
        <v>27</v>
      </c>
      <c r="F256">
        <v>11735.37</v>
      </c>
      <c r="G256" t="s">
        <v>16</v>
      </c>
      <c r="H256" s="3">
        <v>46016</v>
      </c>
      <c r="I256">
        <v>0.13980000000000001</v>
      </c>
      <c r="J256">
        <v>8768.3922692722463</v>
      </c>
      <c r="K256" t="s">
        <v>28</v>
      </c>
    </row>
    <row r="257" spans="1:11">
      <c r="A257" t="s">
        <v>18</v>
      </c>
      <c r="B257" t="s">
        <v>11</v>
      </c>
      <c r="C257" t="s">
        <v>20</v>
      </c>
      <c r="D257" t="s">
        <v>13</v>
      </c>
      <c r="E257" t="s">
        <v>27</v>
      </c>
      <c r="F257">
        <v>185981.27</v>
      </c>
      <c r="G257" t="s">
        <v>23</v>
      </c>
      <c r="H257" s="3">
        <v>45720</v>
      </c>
      <c r="I257">
        <v>0.1956</v>
      </c>
      <c r="J257">
        <v>169391.51249359691</v>
      </c>
      <c r="K257" t="s">
        <v>28</v>
      </c>
    </row>
    <row r="258" spans="1:11">
      <c r="A258" t="s">
        <v>18</v>
      </c>
      <c r="B258" t="s">
        <v>25</v>
      </c>
      <c r="C258" t="s">
        <v>20</v>
      </c>
      <c r="D258" t="s">
        <v>26</v>
      </c>
      <c r="E258" t="s">
        <v>27</v>
      </c>
      <c r="F258">
        <v>117408.93</v>
      </c>
      <c r="G258" t="s">
        <v>24</v>
      </c>
      <c r="H258" s="3">
        <v>45786</v>
      </c>
      <c r="I258">
        <v>5.4399999999999997E-2</v>
      </c>
      <c r="J258">
        <v>100502.40299507701</v>
      </c>
      <c r="K258" t="s">
        <v>28</v>
      </c>
    </row>
    <row r="259" spans="1:11">
      <c r="A259" t="s">
        <v>25</v>
      </c>
      <c r="B259" t="s">
        <v>12</v>
      </c>
      <c r="C259" t="s">
        <v>26</v>
      </c>
      <c r="D259" t="s">
        <v>14</v>
      </c>
      <c r="E259" t="s">
        <v>22</v>
      </c>
      <c r="F259">
        <v>107736.12</v>
      </c>
      <c r="G259" t="s">
        <v>16</v>
      </c>
      <c r="H259" s="3">
        <v>45847</v>
      </c>
      <c r="J259">
        <v>71348.532240169676</v>
      </c>
      <c r="K259" t="s">
        <v>28</v>
      </c>
    </row>
    <row r="260" spans="1:11">
      <c r="A260" t="s">
        <v>11</v>
      </c>
      <c r="B260" t="s">
        <v>12</v>
      </c>
      <c r="C260" t="s">
        <v>13</v>
      </c>
      <c r="D260" t="s">
        <v>14</v>
      </c>
      <c r="E260" t="s">
        <v>27</v>
      </c>
      <c r="F260">
        <v>12383.2</v>
      </c>
      <c r="G260" t="s">
        <v>24</v>
      </c>
      <c r="H260" s="3">
        <v>45785</v>
      </c>
      <c r="I260">
        <v>2.0899999999999998E-2</v>
      </c>
      <c r="J260">
        <v>7671.3236045037866</v>
      </c>
      <c r="K260" t="s">
        <v>28</v>
      </c>
    </row>
    <row r="261" spans="1:11">
      <c r="A261" t="s">
        <v>18</v>
      </c>
      <c r="B261" t="s">
        <v>25</v>
      </c>
      <c r="C261" t="s">
        <v>20</v>
      </c>
      <c r="D261" t="s">
        <v>26</v>
      </c>
      <c r="E261" t="s">
        <v>22</v>
      </c>
      <c r="F261">
        <v>98005.43</v>
      </c>
      <c r="G261" t="s">
        <v>23</v>
      </c>
      <c r="H261" s="3">
        <v>45706</v>
      </c>
      <c r="I261">
        <v>6.2899999999999998E-2</v>
      </c>
      <c r="J261">
        <v>62619.195991463726</v>
      </c>
      <c r="K261" t="s">
        <v>28</v>
      </c>
    </row>
    <row r="262" spans="1:11">
      <c r="A262" t="s">
        <v>25</v>
      </c>
      <c r="B262" t="s">
        <v>18</v>
      </c>
      <c r="C262" t="s">
        <v>26</v>
      </c>
      <c r="D262" t="s">
        <v>20</v>
      </c>
      <c r="E262" t="s">
        <v>27</v>
      </c>
      <c r="F262">
        <v>8066.91</v>
      </c>
      <c r="G262" t="s">
        <v>23</v>
      </c>
      <c r="H262" s="3">
        <v>45838</v>
      </c>
      <c r="J262">
        <v>7404.8859570508293</v>
      </c>
      <c r="K262" t="s">
        <v>28</v>
      </c>
    </row>
    <row r="263" spans="1:11">
      <c r="A263" t="s">
        <v>25</v>
      </c>
      <c r="B263" t="s">
        <v>11</v>
      </c>
      <c r="C263" t="s">
        <v>26</v>
      </c>
      <c r="D263" t="s">
        <v>13</v>
      </c>
      <c r="E263" t="s">
        <v>27</v>
      </c>
      <c r="F263">
        <v>181942.25</v>
      </c>
      <c r="G263" t="s">
        <v>24</v>
      </c>
      <c r="H263" s="3">
        <v>45779</v>
      </c>
      <c r="K263" t="s">
        <v>28</v>
      </c>
    </row>
    <row r="264" spans="1:11">
      <c r="A264" t="s">
        <v>19</v>
      </c>
      <c r="B264" t="s">
        <v>25</v>
      </c>
      <c r="C264" t="s">
        <v>21</v>
      </c>
      <c r="D264" t="s">
        <v>26</v>
      </c>
      <c r="E264" t="s">
        <v>15</v>
      </c>
      <c r="F264">
        <v>195792.7</v>
      </c>
      <c r="G264" t="s">
        <v>24</v>
      </c>
      <c r="H264" s="3">
        <v>45909</v>
      </c>
      <c r="I264">
        <v>9.9099999999999994E-2</v>
      </c>
      <c r="J264">
        <v>130403.146255848</v>
      </c>
      <c r="K264" t="s">
        <v>28</v>
      </c>
    </row>
    <row r="265" spans="1:11">
      <c r="A265" t="s">
        <v>18</v>
      </c>
      <c r="B265" t="s">
        <v>19</v>
      </c>
      <c r="C265" t="s">
        <v>20</v>
      </c>
      <c r="D265" t="s">
        <v>21</v>
      </c>
      <c r="E265" t="s">
        <v>22</v>
      </c>
      <c r="F265">
        <v>172748.68</v>
      </c>
      <c r="G265" t="s">
        <v>23</v>
      </c>
      <c r="H265" s="3">
        <v>45844</v>
      </c>
      <c r="I265">
        <v>0.10349999999999999</v>
      </c>
      <c r="J265">
        <v>142517.8725983577</v>
      </c>
      <c r="K265" t="s">
        <v>28</v>
      </c>
    </row>
    <row r="266" spans="1:11">
      <c r="A266" t="s">
        <v>18</v>
      </c>
      <c r="B266" t="s">
        <v>12</v>
      </c>
      <c r="C266" t="s">
        <v>20</v>
      </c>
      <c r="D266" t="s">
        <v>14</v>
      </c>
      <c r="E266" t="s">
        <v>22</v>
      </c>
      <c r="F266">
        <v>193688.81</v>
      </c>
      <c r="G266" t="s">
        <v>24</v>
      </c>
      <c r="H266" s="3">
        <v>45946</v>
      </c>
      <c r="I266">
        <v>2.63E-2</v>
      </c>
      <c r="J266">
        <v>159842.0815615085</v>
      </c>
      <c r="K266" t="s">
        <v>28</v>
      </c>
    </row>
    <row r="267" spans="1:11">
      <c r="A267" t="s">
        <v>25</v>
      </c>
      <c r="B267" t="s">
        <v>11</v>
      </c>
      <c r="C267" t="s">
        <v>26</v>
      </c>
      <c r="D267" t="s">
        <v>13</v>
      </c>
      <c r="E267" t="s">
        <v>22</v>
      </c>
      <c r="F267">
        <v>101744.17</v>
      </c>
      <c r="G267" t="s">
        <v>24</v>
      </c>
      <c r="H267" s="3">
        <v>45688</v>
      </c>
      <c r="I267">
        <v>0.1303</v>
      </c>
      <c r="J267">
        <v>65790.068529345503</v>
      </c>
      <c r="K267" t="s">
        <v>28</v>
      </c>
    </row>
    <row r="268" spans="1:11">
      <c r="A268" t="s">
        <v>12</v>
      </c>
      <c r="B268" t="s">
        <v>11</v>
      </c>
      <c r="C268" t="s">
        <v>14</v>
      </c>
      <c r="D268" t="s">
        <v>13</v>
      </c>
      <c r="E268" t="s">
        <v>27</v>
      </c>
      <c r="F268">
        <v>167566.82999999999</v>
      </c>
      <c r="G268" t="s">
        <v>24</v>
      </c>
      <c r="H268" s="3">
        <v>45814</v>
      </c>
      <c r="I268">
        <v>7.7700000000000005E-2</v>
      </c>
      <c r="J268">
        <v>150651.53965513999</v>
      </c>
      <c r="K268" t="s">
        <v>28</v>
      </c>
    </row>
    <row r="269" spans="1:11">
      <c r="A269" t="s">
        <v>11</v>
      </c>
      <c r="B269" t="s">
        <v>12</v>
      </c>
      <c r="C269" t="s">
        <v>13</v>
      </c>
      <c r="D269" t="s">
        <v>14</v>
      </c>
      <c r="E269" t="s">
        <v>22</v>
      </c>
      <c r="F269">
        <v>130763.63</v>
      </c>
      <c r="G269" t="s">
        <v>23</v>
      </c>
      <c r="H269" s="3">
        <v>45910</v>
      </c>
      <c r="K269" t="s">
        <v>28</v>
      </c>
    </row>
    <row r="270" spans="1:11">
      <c r="A270" t="s">
        <v>11</v>
      </c>
      <c r="B270" t="s">
        <v>18</v>
      </c>
      <c r="C270" t="s">
        <v>13</v>
      </c>
      <c r="D270" t="s">
        <v>20</v>
      </c>
      <c r="E270" t="s">
        <v>27</v>
      </c>
      <c r="F270">
        <v>16574.66</v>
      </c>
      <c r="G270" t="s">
        <v>16</v>
      </c>
      <c r="H270" s="3">
        <v>45919</v>
      </c>
      <c r="I270">
        <v>0.1036</v>
      </c>
      <c r="J270">
        <v>11433.7200253069</v>
      </c>
      <c r="K270" t="s">
        <v>28</v>
      </c>
    </row>
    <row r="271" spans="1:11">
      <c r="A271" t="s">
        <v>11</v>
      </c>
      <c r="B271" t="s">
        <v>25</v>
      </c>
      <c r="C271" t="s">
        <v>13</v>
      </c>
      <c r="D271" t="s">
        <v>26</v>
      </c>
      <c r="E271" t="s">
        <v>22</v>
      </c>
      <c r="F271">
        <v>198027.27</v>
      </c>
      <c r="G271" t="s">
        <v>16</v>
      </c>
      <c r="H271" s="3">
        <v>45849</v>
      </c>
      <c r="J271">
        <v>122834.6392168835</v>
      </c>
      <c r="K271" t="s">
        <v>28</v>
      </c>
    </row>
    <row r="272" spans="1:11">
      <c r="A272" t="s">
        <v>18</v>
      </c>
      <c r="B272" t="s">
        <v>11</v>
      </c>
      <c r="C272" t="s">
        <v>20</v>
      </c>
      <c r="D272" t="s">
        <v>13</v>
      </c>
      <c r="E272" t="s">
        <v>22</v>
      </c>
      <c r="F272">
        <v>103254.74</v>
      </c>
      <c r="G272" t="s">
        <v>16</v>
      </c>
      <c r="H272" s="3">
        <v>45697</v>
      </c>
      <c r="I272">
        <v>0.13009999999999999</v>
      </c>
      <c r="J272">
        <v>92511.731497655433</v>
      </c>
      <c r="K272" t="s">
        <v>28</v>
      </c>
    </row>
    <row r="273" spans="1:11">
      <c r="A273" t="s">
        <v>19</v>
      </c>
      <c r="B273" t="s">
        <v>12</v>
      </c>
      <c r="C273" t="s">
        <v>21</v>
      </c>
      <c r="D273" t="s">
        <v>14</v>
      </c>
      <c r="E273" t="s">
        <v>22</v>
      </c>
      <c r="F273">
        <v>149658.79</v>
      </c>
      <c r="G273" t="s">
        <v>24</v>
      </c>
      <c r="H273" s="3">
        <v>45801</v>
      </c>
      <c r="I273">
        <v>4.6399999999999997E-2</v>
      </c>
      <c r="J273">
        <v>106463.7169996427</v>
      </c>
      <c r="K273" t="s">
        <v>28</v>
      </c>
    </row>
    <row r="274" spans="1:11">
      <c r="A274" t="s">
        <v>25</v>
      </c>
      <c r="B274" t="s">
        <v>18</v>
      </c>
      <c r="C274" t="s">
        <v>26</v>
      </c>
      <c r="D274" t="s">
        <v>20</v>
      </c>
      <c r="E274" t="s">
        <v>27</v>
      </c>
      <c r="F274">
        <v>22148.04</v>
      </c>
      <c r="G274" t="s">
        <v>24</v>
      </c>
      <c r="H274" s="3">
        <v>45998</v>
      </c>
      <c r="I274">
        <v>0.17530000000000001</v>
      </c>
      <c r="J274">
        <v>14222.14920283798</v>
      </c>
      <c r="K274" t="s">
        <v>28</v>
      </c>
    </row>
    <row r="275" spans="1:11">
      <c r="A275" t="s">
        <v>11</v>
      </c>
      <c r="B275" t="s">
        <v>18</v>
      </c>
      <c r="C275" t="s">
        <v>13</v>
      </c>
      <c r="D275" t="s">
        <v>20</v>
      </c>
      <c r="E275" t="s">
        <v>15</v>
      </c>
      <c r="F275">
        <v>186819.67</v>
      </c>
      <c r="G275" t="s">
        <v>23</v>
      </c>
      <c r="H275" s="3">
        <v>45974</v>
      </c>
      <c r="I275">
        <v>0.1648</v>
      </c>
      <c r="K275" t="s">
        <v>28</v>
      </c>
    </row>
    <row r="276" spans="1:11">
      <c r="A276" t="s">
        <v>19</v>
      </c>
      <c r="B276" t="s">
        <v>11</v>
      </c>
      <c r="C276" t="s">
        <v>21</v>
      </c>
      <c r="D276" t="s">
        <v>13</v>
      </c>
      <c r="E276" t="s">
        <v>27</v>
      </c>
      <c r="F276">
        <v>162516.88</v>
      </c>
      <c r="G276" t="s">
        <v>24</v>
      </c>
      <c r="H276" s="3">
        <v>46015</v>
      </c>
      <c r="I276">
        <v>0.18049999999999999</v>
      </c>
      <c r="J276">
        <v>126299.326174815</v>
      </c>
      <c r="K276" t="s">
        <v>28</v>
      </c>
    </row>
    <row r="277" spans="1:11">
      <c r="A277" t="s">
        <v>19</v>
      </c>
      <c r="B277" t="s">
        <v>18</v>
      </c>
      <c r="C277" t="s">
        <v>21</v>
      </c>
      <c r="D277" t="s">
        <v>20</v>
      </c>
      <c r="E277" t="s">
        <v>22</v>
      </c>
      <c r="F277">
        <v>166551.29</v>
      </c>
      <c r="G277" t="s">
        <v>23</v>
      </c>
      <c r="H277" s="3">
        <v>45682</v>
      </c>
      <c r="J277">
        <v>110335.7646417573</v>
      </c>
      <c r="K277" t="s">
        <v>28</v>
      </c>
    </row>
    <row r="278" spans="1:11">
      <c r="A278" t="s">
        <v>12</v>
      </c>
      <c r="B278" t="s">
        <v>18</v>
      </c>
      <c r="C278" t="s">
        <v>14</v>
      </c>
      <c r="D278" t="s">
        <v>20</v>
      </c>
      <c r="E278" t="s">
        <v>27</v>
      </c>
      <c r="F278">
        <v>166575.31</v>
      </c>
      <c r="G278" t="s">
        <v>23</v>
      </c>
      <c r="H278" s="3">
        <v>45869</v>
      </c>
      <c r="I278">
        <v>2.4400000000000002E-2</v>
      </c>
      <c r="K278" t="s">
        <v>28</v>
      </c>
    </row>
    <row r="279" spans="1:11">
      <c r="A279" t="s">
        <v>25</v>
      </c>
      <c r="B279" t="s">
        <v>11</v>
      </c>
      <c r="C279" t="s">
        <v>26</v>
      </c>
      <c r="D279" t="s">
        <v>13</v>
      </c>
      <c r="E279" t="s">
        <v>22</v>
      </c>
      <c r="F279">
        <v>97050.01</v>
      </c>
      <c r="G279" t="s">
        <v>23</v>
      </c>
      <c r="H279" s="3">
        <v>45919</v>
      </c>
      <c r="J279">
        <v>75651.79042350738</v>
      </c>
      <c r="K279" t="s">
        <v>28</v>
      </c>
    </row>
    <row r="280" spans="1:11">
      <c r="A280" t="s">
        <v>19</v>
      </c>
      <c r="B280" t="s">
        <v>12</v>
      </c>
      <c r="C280" t="s">
        <v>21</v>
      </c>
      <c r="D280" t="s">
        <v>14</v>
      </c>
      <c r="E280" t="s">
        <v>15</v>
      </c>
      <c r="F280">
        <v>112648.48</v>
      </c>
      <c r="G280" t="s">
        <v>24</v>
      </c>
      <c r="H280" s="3">
        <v>45999</v>
      </c>
      <c r="J280">
        <v>105153.00262139</v>
      </c>
      <c r="K280" t="s">
        <v>28</v>
      </c>
    </row>
    <row r="281" spans="1:11">
      <c r="A281" t="s">
        <v>25</v>
      </c>
      <c r="B281" t="s">
        <v>19</v>
      </c>
      <c r="C281" t="s">
        <v>26</v>
      </c>
      <c r="D281" t="s">
        <v>21</v>
      </c>
      <c r="E281" t="s">
        <v>22</v>
      </c>
      <c r="F281">
        <v>61157.440000000002</v>
      </c>
      <c r="G281" t="s">
        <v>23</v>
      </c>
      <c r="H281" s="3">
        <v>45793</v>
      </c>
      <c r="I281">
        <v>6.9699999999999998E-2</v>
      </c>
      <c r="J281">
        <v>55502.293578781471</v>
      </c>
      <c r="K281" t="s">
        <v>28</v>
      </c>
    </row>
    <row r="282" spans="1:11">
      <c r="A282" t="s">
        <v>25</v>
      </c>
      <c r="B282" t="s">
        <v>19</v>
      </c>
      <c r="C282" t="s">
        <v>26</v>
      </c>
      <c r="D282" t="s">
        <v>21</v>
      </c>
      <c r="E282" t="s">
        <v>22</v>
      </c>
      <c r="F282">
        <v>5201.42</v>
      </c>
      <c r="G282" t="s">
        <v>23</v>
      </c>
      <c r="H282" s="3">
        <v>45782</v>
      </c>
      <c r="I282">
        <v>0.10050000000000001</v>
      </c>
      <c r="J282">
        <v>3455.3490481020249</v>
      </c>
      <c r="K282" t="s">
        <v>28</v>
      </c>
    </row>
    <row r="283" spans="1:11">
      <c r="A283" t="s">
        <v>25</v>
      </c>
      <c r="B283" t="s">
        <v>12</v>
      </c>
      <c r="C283" t="s">
        <v>26</v>
      </c>
      <c r="D283" t="s">
        <v>14</v>
      </c>
      <c r="E283" t="s">
        <v>22</v>
      </c>
      <c r="F283">
        <v>110510.71</v>
      </c>
      <c r="G283" t="s">
        <v>23</v>
      </c>
      <c r="H283" s="3">
        <v>45869</v>
      </c>
      <c r="I283">
        <v>0.16159999999999999</v>
      </c>
      <c r="J283">
        <v>92953.893216660275</v>
      </c>
      <c r="K283" t="s">
        <v>28</v>
      </c>
    </row>
    <row r="284" spans="1:11">
      <c r="A284" t="s">
        <v>12</v>
      </c>
      <c r="B284" t="s">
        <v>19</v>
      </c>
      <c r="C284" t="s">
        <v>14</v>
      </c>
      <c r="D284" t="s">
        <v>21</v>
      </c>
      <c r="E284" t="s">
        <v>27</v>
      </c>
      <c r="F284">
        <v>12210.14</v>
      </c>
      <c r="G284" t="s">
        <v>23</v>
      </c>
      <c r="H284" s="3">
        <v>45854</v>
      </c>
      <c r="I284">
        <v>6.9199999999999998E-2</v>
      </c>
      <c r="J284">
        <v>10107.443266135169</v>
      </c>
      <c r="K284" t="s">
        <v>28</v>
      </c>
    </row>
    <row r="285" spans="1:11">
      <c r="A285" t="s">
        <v>19</v>
      </c>
      <c r="B285" t="s">
        <v>11</v>
      </c>
      <c r="C285" t="s">
        <v>21</v>
      </c>
      <c r="D285" t="s">
        <v>13</v>
      </c>
      <c r="E285" t="s">
        <v>15</v>
      </c>
      <c r="F285">
        <v>144942.01999999999</v>
      </c>
      <c r="G285" t="s">
        <v>23</v>
      </c>
      <c r="H285" s="3">
        <v>45743</v>
      </c>
      <c r="I285">
        <v>8.3000000000000004E-2</v>
      </c>
      <c r="J285">
        <v>128542.8914755291</v>
      </c>
      <c r="K285" t="s">
        <v>28</v>
      </c>
    </row>
    <row r="286" spans="1:11">
      <c r="A286" t="s">
        <v>11</v>
      </c>
      <c r="B286" t="s">
        <v>25</v>
      </c>
      <c r="C286" t="s">
        <v>13</v>
      </c>
      <c r="D286" t="s">
        <v>26</v>
      </c>
      <c r="E286" t="s">
        <v>15</v>
      </c>
      <c r="F286">
        <v>104153.99</v>
      </c>
      <c r="G286" t="s">
        <v>23</v>
      </c>
      <c r="H286" s="3">
        <v>45823</v>
      </c>
      <c r="I286">
        <v>0.1605</v>
      </c>
      <c r="K286" t="s">
        <v>28</v>
      </c>
    </row>
    <row r="287" spans="1:11">
      <c r="A287" t="s">
        <v>19</v>
      </c>
      <c r="B287" t="s">
        <v>18</v>
      </c>
      <c r="C287" t="s">
        <v>21</v>
      </c>
      <c r="D287" t="s">
        <v>20</v>
      </c>
      <c r="E287" t="s">
        <v>22</v>
      </c>
      <c r="F287">
        <v>112919.57</v>
      </c>
      <c r="G287" t="s">
        <v>24</v>
      </c>
      <c r="H287" s="3">
        <v>45693</v>
      </c>
      <c r="I287">
        <v>2.6100000000000002E-2</v>
      </c>
      <c r="J287">
        <v>95651.297147206526</v>
      </c>
      <c r="K287" t="s">
        <v>28</v>
      </c>
    </row>
    <row r="288" spans="1:11">
      <c r="A288" t="s">
        <v>25</v>
      </c>
      <c r="B288" t="s">
        <v>11</v>
      </c>
      <c r="C288" t="s">
        <v>26</v>
      </c>
      <c r="D288" t="s">
        <v>13</v>
      </c>
      <c r="E288" t="s">
        <v>15</v>
      </c>
      <c r="F288">
        <v>120886.72</v>
      </c>
      <c r="G288" t="s">
        <v>16</v>
      </c>
      <c r="H288" s="3">
        <v>45786</v>
      </c>
      <c r="I288">
        <v>5.3999999999999999E-2</v>
      </c>
      <c r="J288">
        <v>108310.29870846641</v>
      </c>
      <c r="K288" t="s">
        <v>28</v>
      </c>
    </row>
    <row r="289" spans="1:11">
      <c r="A289" t="s">
        <v>12</v>
      </c>
      <c r="B289" t="s">
        <v>19</v>
      </c>
      <c r="C289" t="s">
        <v>14</v>
      </c>
      <c r="D289" t="s">
        <v>21</v>
      </c>
      <c r="E289" t="s">
        <v>22</v>
      </c>
      <c r="F289">
        <v>100117.3</v>
      </c>
      <c r="G289" t="s">
        <v>16</v>
      </c>
      <c r="H289" s="3">
        <v>45963</v>
      </c>
      <c r="I289">
        <v>2.06E-2</v>
      </c>
      <c r="J289">
        <v>81740.222662812419</v>
      </c>
      <c r="K289" t="s">
        <v>28</v>
      </c>
    </row>
    <row r="290" spans="1:11">
      <c r="A290" t="s">
        <v>11</v>
      </c>
      <c r="B290" t="s">
        <v>25</v>
      </c>
      <c r="C290" t="s">
        <v>13</v>
      </c>
      <c r="D290" t="s">
        <v>26</v>
      </c>
      <c r="E290" t="s">
        <v>22</v>
      </c>
      <c r="F290">
        <v>188186.68</v>
      </c>
      <c r="G290" t="s">
        <v>24</v>
      </c>
      <c r="H290" s="3">
        <v>45753</v>
      </c>
      <c r="J290">
        <v>167590.5481885857</v>
      </c>
      <c r="K290" t="s">
        <v>28</v>
      </c>
    </row>
    <row r="291" spans="1:11">
      <c r="A291" t="s">
        <v>11</v>
      </c>
      <c r="B291" t="s">
        <v>25</v>
      </c>
      <c r="C291" t="s">
        <v>13</v>
      </c>
      <c r="D291" t="s">
        <v>26</v>
      </c>
      <c r="E291" t="s">
        <v>22</v>
      </c>
      <c r="F291">
        <v>51826.31</v>
      </c>
      <c r="G291" t="s">
        <v>24</v>
      </c>
      <c r="H291" s="3">
        <v>45911</v>
      </c>
      <c r="I291">
        <v>0.1943</v>
      </c>
      <c r="J291">
        <v>37694.537544706844</v>
      </c>
      <c r="K291" t="s">
        <v>28</v>
      </c>
    </row>
    <row r="292" spans="1:11">
      <c r="A292" t="s">
        <v>18</v>
      </c>
      <c r="B292" t="s">
        <v>25</v>
      </c>
      <c r="C292" t="s">
        <v>20</v>
      </c>
      <c r="D292" t="s">
        <v>26</v>
      </c>
      <c r="E292" t="s">
        <v>22</v>
      </c>
      <c r="F292">
        <v>156768.67000000001</v>
      </c>
      <c r="G292" t="s">
        <v>23</v>
      </c>
      <c r="H292" s="3">
        <v>45714</v>
      </c>
      <c r="I292">
        <v>1.7500000000000002E-2</v>
      </c>
      <c r="J292">
        <v>147477.2419616273</v>
      </c>
      <c r="K292" t="s">
        <v>28</v>
      </c>
    </row>
    <row r="293" spans="1:11">
      <c r="A293" t="s">
        <v>19</v>
      </c>
      <c r="B293" t="s">
        <v>11</v>
      </c>
      <c r="C293" t="s">
        <v>21</v>
      </c>
      <c r="D293" t="s">
        <v>13</v>
      </c>
      <c r="E293" t="s">
        <v>27</v>
      </c>
      <c r="F293">
        <v>163749.10999999999</v>
      </c>
      <c r="G293" t="s">
        <v>23</v>
      </c>
      <c r="H293" s="3">
        <v>45733</v>
      </c>
      <c r="I293">
        <v>0.18529999999999999</v>
      </c>
      <c r="J293">
        <v>100835.0381984967</v>
      </c>
      <c r="K293" t="s">
        <v>28</v>
      </c>
    </row>
    <row r="294" spans="1:11">
      <c r="A294" t="s">
        <v>25</v>
      </c>
      <c r="B294" t="s">
        <v>19</v>
      </c>
      <c r="C294" t="s">
        <v>26</v>
      </c>
      <c r="D294" t="s">
        <v>21</v>
      </c>
      <c r="E294" t="s">
        <v>27</v>
      </c>
      <c r="F294">
        <v>11365.55</v>
      </c>
      <c r="G294" t="s">
        <v>23</v>
      </c>
      <c r="H294" s="3">
        <v>45908</v>
      </c>
      <c r="I294">
        <v>0.14779999999999999</v>
      </c>
      <c r="J294">
        <v>7850.4847987964058</v>
      </c>
      <c r="K294" t="s">
        <v>28</v>
      </c>
    </row>
    <row r="295" spans="1:11">
      <c r="A295" t="s">
        <v>18</v>
      </c>
      <c r="B295" t="s">
        <v>12</v>
      </c>
      <c r="C295" t="s">
        <v>20</v>
      </c>
      <c r="D295" t="s">
        <v>14</v>
      </c>
      <c r="E295" t="s">
        <v>22</v>
      </c>
      <c r="F295">
        <v>160933.85999999999</v>
      </c>
      <c r="G295" t="s">
        <v>16</v>
      </c>
      <c r="H295" s="3">
        <v>45814</v>
      </c>
      <c r="I295">
        <v>0.1055</v>
      </c>
      <c r="J295">
        <v>126619.087994856</v>
      </c>
      <c r="K295" t="s">
        <v>28</v>
      </c>
    </row>
    <row r="296" spans="1:11">
      <c r="A296" t="s">
        <v>25</v>
      </c>
      <c r="B296" t="s">
        <v>11</v>
      </c>
      <c r="C296" t="s">
        <v>26</v>
      </c>
      <c r="D296" t="s">
        <v>13</v>
      </c>
      <c r="E296" t="s">
        <v>27</v>
      </c>
      <c r="F296">
        <v>51828.29</v>
      </c>
      <c r="G296" t="s">
        <v>16</v>
      </c>
      <c r="H296" s="3">
        <v>45846</v>
      </c>
      <c r="I296">
        <v>8.3299999999999999E-2</v>
      </c>
      <c r="J296">
        <v>46883.33513268461</v>
      </c>
      <c r="K296" t="s">
        <v>28</v>
      </c>
    </row>
    <row r="297" spans="1:11">
      <c r="A297" t="s">
        <v>11</v>
      </c>
      <c r="B297" t="s">
        <v>18</v>
      </c>
      <c r="C297" t="s">
        <v>13</v>
      </c>
      <c r="D297" t="s">
        <v>20</v>
      </c>
      <c r="E297" t="s">
        <v>15</v>
      </c>
      <c r="F297">
        <v>39704.61</v>
      </c>
      <c r="G297" t="s">
        <v>16</v>
      </c>
      <c r="H297" s="3">
        <v>45826</v>
      </c>
      <c r="I297">
        <v>0.16259999999999999</v>
      </c>
      <c r="J297">
        <v>36550.893732315533</v>
      </c>
      <c r="K297" t="s">
        <v>28</v>
      </c>
    </row>
    <row r="298" spans="1:11">
      <c r="A298" t="s">
        <v>18</v>
      </c>
      <c r="B298" t="s">
        <v>12</v>
      </c>
      <c r="C298" t="s">
        <v>20</v>
      </c>
      <c r="D298" t="s">
        <v>14</v>
      </c>
      <c r="E298" t="s">
        <v>15</v>
      </c>
      <c r="F298">
        <v>73743.850000000006</v>
      </c>
      <c r="G298" t="s">
        <v>16</v>
      </c>
      <c r="H298" s="3">
        <v>45991</v>
      </c>
      <c r="I298">
        <v>0.1996</v>
      </c>
      <c r="J298">
        <v>45319.355425274312</v>
      </c>
      <c r="K298" t="s">
        <v>28</v>
      </c>
    </row>
    <row r="299" spans="1:11">
      <c r="A299" t="s">
        <v>11</v>
      </c>
      <c r="B299" t="s">
        <v>12</v>
      </c>
      <c r="C299" t="s">
        <v>13</v>
      </c>
      <c r="D299" t="s">
        <v>14</v>
      </c>
      <c r="E299" t="s">
        <v>22</v>
      </c>
      <c r="F299">
        <v>123694.32</v>
      </c>
      <c r="G299" t="s">
        <v>24</v>
      </c>
      <c r="H299" s="3">
        <v>45812</v>
      </c>
      <c r="I299">
        <v>8.3099999999999993E-2</v>
      </c>
      <c r="J299">
        <v>116251.1062293131</v>
      </c>
      <c r="K299" t="s">
        <v>28</v>
      </c>
    </row>
    <row r="300" spans="1:11">
      <c r="A300" t="s">
        <v>18</v>
      </c>
      <c r="B300" t="s">
        <v>12</v>
      </c>
      <c r="C300" t="s">
        <v>20</v>
      </c>
      <c r="D300" t="s">
        <v>14</v>
      </c>
      <c r="E300" t="s">
        <v>22</v>
      </c>
      <c r="F300">
        <v>101648.12</v>
      </c>
      <c r="G300" t="s">
        <v>24</v>
      </c>
      <c r="H300" s="3">
        <v>45825</v>
      </c>
      <c r="I300">
        <v>6.6500000000000004E-2</v>
      </c>
      <c r="J300">
        <v>78104.595692165181</v>
      </c>
      <c r="K300" t="s">
        <v>28</v>
      </c>
    </row>
    <row r="301" spans="1:11">
      <c r="A301" t="s">
        <v>12</v>
      </c>
      <c r="B301" t="s">
        <v>25</v>
      </c>
      <c r="C301" t="s">
        <v>14</v>
      </c>
      <c r="D301" t="s">
        <v>26</v>
      </c>
      <c r="E301" t="s">
        <v>27</v>
      </c>
      <c r="F301">
        <v>82093.34</v>
      </c>
      <c r="G301" t="s">
        <v>24</v>
      </c>
      <c r="H301" s="3">
        <v>45690</v>
      </c>
      <c r="I301">
        <v>0.1915</v>
      </c>
      <c r="J301">
        <v>64415.978159756967</v>
      </c>
      <c r="K3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819D-F729-364E-9310-120DB0CA0DD9}">
  <dimension ref="A1:N296"/>
  <sheetViews>
    <sheetView tabSelected="1" topLeftCell="B1" zoomScale="125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/>
  <cols>
    <col min="1" max="1" width="16.5" bestFit="1" customWidth="1"/>
    <col min="2" max="2" width="17.83203125" bestFit="1" customWidth="1"/>
    <col min="3" max="3" width="18.1640625" bestFit="1" customWidth="1"/>
    <col min="4" max="4" width="19.5" bestFit="1" customWidth="1"/>
    <col min="5" max="5" width="19" bestFit="1" customWidth="1"/>
    <col min="6" max="6" width="10.1640625" style="6" bestFit="1" customWidth="1"/>
    <col min="7" max="7" width="13.1640625" bestFit="1" customWidth="1"/>
    <col min="8" max="8" width="12.5" bestFit="1" customWidth="1"/>
    <col min="9" max="9" width="16.83203125" bestFit="1" customWidth="1"/>
    <col min="10" max="10" width="13.33203125" bestFit="1" customWidth="1"/>
    <col min="11" max="11" width="17.6640625" bestFit="1" customWidth="1"/>
    <col min="12" max="12" width="13.33203125" style="9" bestFit="1" customWidth="1"/>
    <col min="13" max="13" width="32" bestFit="1" customWidth="1"/>
    <col min="14" max="14" width="12.66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7</v>
      </c>
      <c r="G1" s="1" t="s">
        <v>6</v>
      </c>
      <c r="H1" s="1" t="s">
        <v>5</v>
      </c>
      <c r="I1" s="1" t="s">
        <v>29</v>
      </c>
      <c r="J1" s="1" t="s">
        <v>9</v>
      </c>
      <c r="K1" s="1" t="s">
        <v>30</v>
      </c>
      <c r="L1" s="8" t="s">
        <v>8</v>
      </c>
      <c r="M1" s="1" t="s">
        <v>10</v>
      </c>
      <c r="N1" s="10" t="s">
        <v>47</v>
      </c>
    </row>
    <row r="2" spans="1:1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6">
        <v>45950</v>
      </c>
      <c r="G2" t="s">
        <v>16</v>
      </c>
      <c r="H2">
        <v>122538.86</v>
      </c>
      <c r="I2">
        <f t="shared" ref="I2:I65" si="0">IF(G2="USD",H2*0.9,IF(G2="PLN",H2*0.22,IF(G2="EUR",H2,"")))</f>
        <v>122538.86</v>
      </c>
      <c r="J2">
        <v>101224.81090356471</v>
      </c>
      <c r="K2">
        <f>IF(J2="","",IF(G2="EUR",J2,IF(G2="USD",J2*0.9,IF(G2="PLN",J2*0.22,""))))</f>
        <v>101224.81090356471</v>
      </c>
      <c r="L2" s="9">
        <f>IF(K2="","",(I2-K2)/K2)</f>
        <v>0.21056151062352543</v>
      </c>
      <c r="M2" t="str">
        <f>IF(I2="","Missing Amount, Margin not calculable",IF(K2="","Missing Cost Base, Margin not calculable","Complete Data"))</f>
        <v>Complete Data</v>
      </c>
      <c r="N2" t="str">
        <f>IF(K2="","Unknown",IF(E2="Goods",IF(AND(L2&gt;=0.03,L2&lt;=0.08),"Compliant","Non-compliant"),IF(E2="Services",IF(AND(L2&gt;=0.05,L2&lt;=0.1),"Compliant","Non-compliant"),IF(E2="Royalties",IF(AND(L2&gt;=0.08,L2&lt;=0.15),"Compliant","Non-compliant"),"Unknown"))))</f>
        <v>Non-compliant</v>
      </c>
    </row>
    <row r="3" spans="1:14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6">
        <v>45683</v>
      </c>
      <c r="G3" t="s">
        <v>23</v>
      </c>
      <c r="H3">
        <v>98144.7</v>
      </c>
      <c r="I3">
        <f t="shared" si="0"/>
        <v>21591.833999999999</v>
      </c>
      <c r="J3">
        <v>72379.231092256974</v>
      </c>
      <c r="K3">
        <f t="shared" ref="K3:K66" si="1">IF(J3="","",IF(G3="EUR",J3,IF(G3="USD",J3*0.9,IF(G3="PLN",J3*0.22,""))))</f>
        <v>15923.430840296534</v>
      </c>
      <c r="L3" s="9">
        <f t="shared" ref="L3:L66" si="2">IF(K3="","",(I3-K3)/K3)</f>
        <v>0.35597875963757475</v>
      </c>
      <c r="M3" t="str">
        <f t="shared" ref="M3:M66" si="3">IF(I3="","Missing Amount, Margin not calculable",IF(K3="","Missing Cost Base, Margin not calculable","Complete Data"))</f>
        <v>Complete Data</v>
      </c>
      <c r="N3" t="str">
        <f t="shared" ref="N3:N66" si="4">IF(K3="","Unknown",IF(E3="Goods",IF(AND(L3&gt;=0.03,L3&lt;=0.08),"Compliant","Non-compliant"),IF(E3="Services",IF(AND(L3&gt;=0.05,L3&lt;=0.1),"Compliant","Non-compliant"),IF(E3="Royalties",IF(AND(L3&gt;=0.08,L3&lt;=0.15),"Compliant","Non-compliant"),"Unknown"))))</f>
        <v>Non-compliant</v>
      </c>
    </row>
    <row r="4" spans="1:14">
      <c r="A4" t="s">
        <v>19</v>
      </c>
      <c r="B4" t="s">
        <v>18</v>
      </c>
      <c r="C4" t="s">
        <v>21</v>
      </c>
      <c r="D4" t="s">
        <v>20</v>
      </c>
      <c r="E4" t="s">
        <v>22</v>
      </c>
      <c r="F4" s="6">
        <v>45901</v>
      </c>
      <c r="G4" t="s">
        <v>24</v>
      </c>
      <c r="H4">
        <v>156740.57</v>
      </c>
      <c r="I4">
        <f t="shared" si="0"/>
        <v>141066.51300000001</v>
      </c>
      <c r="J4">
        <v>137885.5411064988</v>
      </c>
      <c r="K4">
        <f t="shared" si="1"/>
        <v>124096.98699584893</v>
      </c>
      <c r="L4" s="9">
        <f t="shared" si="2"/>
        <v>0.13674406135838504</v>
      </c>
      <c r="M4" t="str">
        <f t="shared" si="3"/>
        <v>Complete Data</v>
      </c>
      <c r="N4" t="str">
        <f t="shared" si="4"/>
        <v>Non-compliant</v>
      </c>
    </row>
    <row r="5" spans="1:14">
      <c r="A5" t="s">
        <v>12</v>
      </c>
      <c r="B5" t="s">
        <v>25</v>
      </c>
      <c r="C5" t="s">
        <v>14</v>
      </c>
      <c r="D5" t="s">
        <v>26</v>
      </c>
      <c r="E5" t="s">
        <v>22</v>
      </c>
      <c r="F5" s="6">
        <v>45821</v>
      </c>
      <c r="G5" t="s">
        <v>24</v>
      </c>
      <c r="H5">
        <v>32953.89</v>
      </c>
      <c r="I5">
        <f t="shared" si="0"/>
        <v>29658.501</v>
      </c>
      <c r="J5">
        <v>24554.987385172011</v>
      </c>
      <c r="K5">
        <f t="shared" si="1"/>
        <v>22099.488646654812</v>
      </c>
      <c r="L5" s="9">
        <f t="shared" si="2"/>
        <v>0.34204467235441627</v>
      </c>
      <c r="M5" t="str">
        <f t="shared" si="3"/>
        <v>Complete Data</v>
      </c>
      <c r="N5" t="str">
        <f t="shared" si="4"/>
        <v>Non-compliant</v>
      </c>
    </row>
    <row r="6" spans="1:14">
      <c r="A6" t="s">
        <v>25</v>
      </c>
      <c r="B6" t="s">
        <v>11</v>
      </c>
      <c r="C6" t="s">
        <v>26</v>
      </c>
      <c r="D6" t="s">
        <v>13</v>
      </c>
      <c r="E6" t="s">
        <v>22</v>
      </c>
      <c r="F6" s="6">
        <v>45931</v>
      </c>
      <c r="G6" t="s">
        <v>23</v>
      </c>
      <c r="H6">
        <v>31367.54</v>
      </c>
      <c r="I6">
        <f t="shared" si="0"/>
        <v>6900.8588</v>
      </c>
      <c r="J6">
        <v>21261.310263593019</v>
      </c>
      <c r="K6">
        <f t="shared" si="1"/>
        <v>4677.4882579904643</v>
      </c>
      <c r="L6" s="9">
        <f t="shared" si="2"/>
        <v>0.47533428613345935</v>
      </c>
      <c r="M6" t="str">
        <f t="shared" si="3"/>
        <v>Complete Data</v>
      </c>
      <c r="N6" t="str">
        <f t="shared" si="4"/>
        <v>Non-compliant</v>
      </c>
    </row>
    <row r="7" spans="1:14">
      <c r="A7" t="s">
        <v>19</v>
      </c>
      <c r="B7" t="s">
        <v>12</v>
      </c>
      <c r="C7" t="s">
        <v>21</v>
      </c>
      <c r="D7" t="s">
        <v>14</v>
      </c>
      <c r="E7" t="s">
        <v>27</v>
      </c>
      <c r="F7" s="6">
        <v>45925</v>
      </c>
      <c r="G7" t="s">
        <v>16</v>
      </c>
      <c r="H7">
        <v>180957.97</v>
      </c>
      <c r="I7">
        <f t="shared" si="0"/>
        <v>180957.97</v>
      </c>
      <c r="J7">
        <v>149941.5952513027</v>
      </c>
      <c r="K7">
        <f t="shared" si="1"/>
        <v>149941.5952513027</v>
      </c>
      <c r="L7" s="9">
        <f t="shared" si="2"/>
        <v>0.20685637428836032</v>
      </c>
      <c r="M7" t="str">
        <f t="shared" si="3"/>
        <v>Complete Data</v>
      </c>
      <c r="N7" t="str">
        <f t="shared" si="4"/>
        <v>Non-compliant</v>
      </c>
    </row>
    <row r="8" spans="1:14">
      <c r="A8" t="s">
        <v>12</v>
      </c>
      <c r="B8" t="s">
        <v>18</v>
      </c>
      <c r="C8" t="s">
        <v>14</v>
      </c>
      <c r="D8" t="s">
        <v>20</v>
      </c>
      <c r="E8" t="s">
        <v>27</v>
      </c>
      <c r="F8" s="6">
        <v>45705</v>
      </c>
      <c r="G8" t="s">
        <v>24</v>
      </c>
      <c r="H8">
        <v>68384.210000000006</v>
      </c>
      <c r="I8">
        <f t="shared" si="0"/>
        <v>61545.789000000004</v>
      </c>
      <c r="J8">
        <v>63982.471857737961</v>
      </c>
      <c r="K8">
        <f t="shared" si="1"/>
        <v>57584.224671964163</v>
      </c>
      <c r="L8" s="9">
        <f t="shared" si="2"/>
        <v>6.8796000130302959E-2</v>
      </c>
      <c r="M8" t="str">
        <f t="shared" si="3"/>
        <v>Complete Data</v>
      </c>
      <c r="N8" t="str">
        <f t="shared" si="4"/>
        <v>Non-compliant</v>
      </c>
    </row>
    <row r="9" spans="1:14">
      <c r="A9" t="s">
        <v>12</v>
      </c>
      <c r="B9" t="s">
        <v>18</v>
      </c>
      <c r="C9" t="s">
        <v>14</v>
      </c>
      <c r="D9" t="s">
        <v>20</v>
      </c>
      <c r="E9" t="s">
        <v>22</v>
      </c>
      <c r="F9" s="6">
        <v>45999</v>
      </c>
      <c r="G9" t="s">
        <v>16</v>
      </c>
      <c r="H9">
        <v>54391.86</v>
      </c>
      <c r="I9">
        <f t="shared" si="0"/>
        <v>54391.86</v>
      </c>
      <c r="J9">
        <v>35661.443968266889</v>
      </c>
      <c r="K9">
        <f t="shared" si="1"/>
        <v>35661.443968266889</v>
      </c>
      <c r="L9" s="9">
        <f t="shared" si="2"/>
        <v>0.525228761022696</v>
      </c>
      <c r="M9" t="str">
        <f t="shared" si="3"/>
        <v>Complete Data</v>
      </c>
      <c r="N9" t="str">
        <f t="shared" si="4"/>
        <v>Non-compliant</v>
      </c>
    </row>
    <row r="10" spans="1:14">
      <c r="A10" t="s">
        <v>19</v>
      </c>
      <c r="B10" t="s">
        <v>11</v>
      </c>
      <c r="C10" t="s">
        <v>21</v>
      </c>
      <c r="D10" t="s">
        <v>13</v>
      </c>
      <c r="E10" t="s">
        <v>22</v>
      </c>
      <c r="F10" s="6">
        <v>45756</v>
      </c>
      <c r="G10" t="s">
        <v>24</v>
      </c>
      <c r="H10">
        <v>7646.47</v>
      </c>
      <c r="I10">
        <f t="shared" si="0"/>
        <v>6881.8230000000003</v>
      </c>
      <c r="J10">
        <v>7189.0639061422662</v>
      </c>
      <c r="K10">
        <f t="shared" si="1"/>
        <v>6470.1575155280398</v>
      </c>
      <c r="L10" s="9">
        <f t="shared" si="2"/>
        <v>6.362526468389447E-2</v>
      </c>
      <c r="M10" t="str">
        <f t="shared" si="3"/>
        <v>Complete Data</v>
      </c>
      <c r="N10" t="str">
        <f t="shared" si="4"/>
        <v>Compliant</v>
      </c>
    </row>
    <row r="11" spans="1:14">
      <c r="A11" t="s">
        <v>18</v>
      </c>
      <c r="B11" t="s">
        <v>11</v>
      </c>
      <c r="C11" t="s">
        <v>20</v>
      </c>
      <c r="D11" t="s">
        <v>13</v>
      </c>
      <c r="E11" t="s">
        <v>15</v>
      </c>
      <c r="F11" s="6">
        <v>45845</v>
      </c>
      <c r="G11" t="s">
        <v>24</v>
      </c>
      <c r="H11">
        <v>8897.59</v>
      </c>
      <c r="I11">
        <f t="shared" si="0"/>
        <v>8007.8310000000001</v>
      </c>
      <c r="J11">
        <v>6457.9203138590783</v>
      </c>
      <c r="K11">
        <f t="shared" si="1"/>
        <v>5812.1282824731707</v>
      </c>
      <c r="L11" s="9">
        <f t="shared" si="2"/>
        <v>0.37777946576783339</v>
      </c>
      <c r="M11" t="str">
        <f t="shared" si="3"/>
        <v>Complete Data</v>
      </c>
      <c r="N11" t="str">
        <f t="shared" si="4"/>
        <v>Non-compliant</v>
      </c>
    </row>
    <row r="12" spans="1:14">
      <c r="A12" t="s">
        <v>25</v>
      </c>
      <c r="B12" t="s">
        <v>12</v>
      </c>
      <c r="C12" t="s">
        <v>26</v>
      </c>
      <c r="D12" t="s">
        <v>14</v>
      </c>
      <c r="E12" t="s">
        <v>27</v>
      </c>
      <c r="F12" s="6">
        <v>45716</v>
      </c>
      <c r="G12" t="s">
        <v>23</v>
      </c>
      <c r="H12">
        <v>115211.83</v>
      </c>
      <c r="I12">
        <f t="shared" si="0"/>
        <v>25346.602600000002</v>
      </c>
      <c r="J12">
        <v>106093.1631974558</v>
      </c>
      <c r="K12">
        <f t="shared" si="1"/>
        <v>23340.495903440275</v>
      </c>
      <c r="L12" s="9">
        <f t="shared" si="2"/>
        <v>8.5949617559926694E-2</v>
      </c>
      <c r="M12" t="str">
        <f t="shared" si="3"/>
        <v>Complete Data</v>
      </c>
      <c r="N12" t="str">
        <f t="shared" si="4"/>
        <v>Compliant</v>
      </c>
    </row>
    <row r="13" spans="1:14">
      <c r="A13" t="s">
        <v>25</v>
      </c>
      <c r="B13" t="s">
        <v>12</v>
      </c>
      <c r="C13" t="s">
        <v>26</v>
      </c>
      <c r="D13" t="s">
        <v>14</v>
      </c>
      <c r="E13" t="s">
        <v>22</v>
      </c>
      <c r="F13" s="6">
        <v>45700</v>
      </c>
      <c r="G13" t="s">
        <v>23</v>
      </c>
      <c r="H13">
        <v>30700.58</v>
      </c>
      <c r="I13">
        <f t="shared" si="0"/>
        <v>6754.1276000000007</v>
      </c>
      <c r="J13">
        <v>20388.77637261296</v>
      </c>
      <c r="K13">
        <f t="shared" si="1"/>
        <v>4485.5308019748509</v>
      </c>
      <c r="L13" s="9">
        <f t="shared" si="2"/>
        <v>0.50575882725548371</v>
      </c>
      <c r="M13" t="str">
        <f t="shared" si="3"/>
        <v>Complete Data</v>
      </c>
      <c r="N13" t="str">
        <f t="shared" si="4"/>
        <v>Non-compliant</v>
      </c>
    </row>
    <row r="14" spans="1:14">
      <c r="A14" t="s">
        <v>11</v>
      </c>
      <c r="B14" t="s">
        <v>18</v>
      </c>
      <c r="C14" t="s">
        <v>13</v>
      </c>
      <c r="D14" t="s">
        <v>20</v>
      </c>
      <c r="E14" t="s">
        <v>15</v>
      </c>
      <c r="F14" s="6">
        <v>45954</v>
      </c>
      <c r="G14" t="s">
        <v>23</v>
      </c>
      <c r="H14">
        <v>33556.14</v>
      </c>
      <c r="I14">
        <f t="shared" si="0"/>
        <v>7382.3508000000002</v>
      </c>
      <c r="J14">
        <v>23521.738497905561</v>
      </c>
      <c r="K14">
        <f t="shared" si="1"/>
        <v>5174.7824695392237</v>
      </c>
      <c r="L14" s="9">
        <f t="shared" si="2"/>
        <v>0.42660118438898248</v>
      </c>
      <c r="M14" t="str">
        <f t="shared" si="3"/>
        <v>Complete Data</v>
      </c>
      <c r="N14" t="str">
        <f t="shared" si="4"/>
        <v>Non-compliant</v>
      </c>
    </row>
    <row r="15" spans="1:14">
      <c r="A15" t="s">
        <v>18</v>
      </c>
      <c r="B15" t="s">
        <v>12</v>
      </c>
      <c r="C15" t="s">
        <v>20</v>
      </c>
      <c r="D15" t="s">
        <v>14</v>
      </c>
      <c r="E15" t="s">
        <v>27</v>
      </c>
      <c r="F15" s="6">
        <v>45895</v>
      </c>
      <c r="G15" t="s">
        <v>16</v>
      </c>
      <c r="H15">
        <v>48500.92</v>
      </c>
      <c r="I15">
        <f t="shared" si="0"/>
        <v>48500.92</v>
      </c>
      <c r="J15">
        <v>43468.611758789928</v>
      </c>
      <c r="K15">
        <f t="shared" si="1"/>
        <v>43468.611758789928</v>
      </c>
      <c r="L15" s="9">
        <f t="shared" si="2"/>
        <v>0.1157687820612875</v>
      </c>
      <c r="M15" t="str">
        <f t="shared" si="3"/>
        <v>Complete Data</v>
      </c>
      <c r="N15" t="str">
        <f t="shared" si="4"/>
        <v>Compliant</v>
      </c>
    </row>
    <row r="16" spans="1:14">
      <c r="A16" t="s">
        <v>19</v>
      </c>
      <c r="B16" t="s">
        <v>25</v>
      </c>
      <c r="C16" t="s">
        <v>21</v>
      </c>
      <c r="D16" t="s">
        <v>26</v>
      </c>
      <c r="E16" t="s">
        <v>22</v>
      </c>
      <c r="F16" s="6">
        <v>45775</v>
      </c>
      <c r="G16" t="s">
        <v>16</v>
      </c>
      <c r="H16">
        <v>118348.21</v>
      </c>
      <c r="I16">
        <f t="shared" si="0"/>
        <v>118348.21</v>
      </c>
      <c r="J16">
        <v>101050.3170340228</v>
      </c>
      <c r="K16">
        <f t="shared" si="1"/>
        <v>101050.3170340228</v>
      </c>
      <c r="L16" s="9">
        <f t="shared" si="2"/>
        <v>0.17118098659851957</v>
      </c>
      <c r="M16" t="str">
        <f t="shared" si="3"/>
        <v>Complete Data</v>
      </c>
      <c r="N16" t="str">
        <f t="shared" si="4"/>
        <v>Non-compliant</v>
      </c>
    </row>
    <row r="17" spans="1:14">
      <c r="A17" t="s">
        <v>19</v>
      </c>
      <c r="B17" t="s">
        <v>18</v>
      </c>
      <c r="C17" t="s">
        <v>21</v>
      </c>
      <c r="D17" t="s">
        <v>20</v>
      </c>
      <c r="E17" t="s">
        <v>22</v>
      </c>
      <c r="F17" s="6">
        <v>45842</v>
      </c>
      <c r="G17" t="s">
        <v>16</v>
      </c>
      <c r="H17">
        <v>123246.68</v>
      </c>
      <c r="I17">
        <f t="shared" si="0"/>
        <v>123246.68</v>
      </c>
      <c r="J17">
        <v>102425.4768519401</v>
      </c>
      <c r="K17">
        <f t="shared" si="1"/>
        <v>102425.4768519401</v>
      </c>
      <c r="L17" s="9">
        <f t="shared" si="2"/>
        <v>0.20328148609117763</v>
      </c>
      <c r="M17" t="str">
        <f t="shared" si="3"/>
        <v>Complete Data</v>
      </c>
      <c r="N17" t="str">
        <f t="shared" si="4"/>
        <v>Non-compliant</v>
      </c>
    </row>
    <row r="18" spans="1:14">
      <c r="A18" t="s">
        <v>19</v>
      </c>
      <c r="B18" t="s">
        <v>12</v>
      </c>
      <c r="C18" t="s">
        <v>21</v>
      </c>
      <c r="D18" t="s">
        <v>14</v>
      </c>
      <c r="E18" t="s">
        <v>22</v>
      </c>
      <c r="F18" s="6">
        <v>45958</v>
      </c>
      <c r="G18" t="s">
        <v>23</v>
      </c>
      <c r="H18">
        <v>25058.35</v>
      </c>
      <c r="I18">
        <f t="shared" si="0"/>
        <v>5512.8369999999995</v>
      </c>
      <c r="J18">
        <v>19874.67173496816</v>
      </c>
      <c r="K18">
        <f t="shared" si="1"/>
        <v>4372.4277816929953</v>
      </c>
      <c r="L18" s="9">
        <f t="shared" si="2"/>
        <v>0.26081830855658872</v>
      </c>
      <c r="M18" t="str">
        <f t="shared" si="3"/>
        <v>Complete Data</v>
      </c>
      <c r="N18" t="str">
        <f t="shared" si="4"/>
        <v>Non-compliant</v>
      </c>
    </row>
    <row r="19" spans="1:14">
      <c r="A19" t="s">
        <v>18</v>
      </c>
      <c r="B19" t="s">
        <v>11</v>
      </c>
      <c r="C19" t="s">
        <v>20</v>
      </c>
      <c r="D19" t="s">
        <v>13</v>
      </c>
      <c r="E19" t="s">
        <v>27</v>
      </c>
      <c r="F19" s="6">
        <v>45701</v>
      </c>
      <c r="G19" t="s">
        <v>23</v>
      </c>
      <c r="H19">
        <v>23965.69</v>
      </c>
      <c r="I19">
        <f t="shared" si="0"/>
        <v>5272.4517999999998</v>
      </c>
      <c r="J19">
        <v>18883.95434460861</v>
      </c>
      <c r="K19">
        <f t="shared" si="1"/>
        <v>4154.4699558138946</v>
      </c>
      <c r="L19" s="9">
        <f t="shared" si="2"/>
        <v>0.26910336482794073</v>
      </c>
      <c r="M19" t="str">
        <f t="shared" si="3"/>
        <v>Complete Data</v>
      </c>
      <c r="N19" t="str">
        <f t="shared" si="4"/>
        <v>Non-compliant</v>
      </c>
    </row>
    <row r="20" spans="1:14">
      <c r="A20" t="s">
        <v>18</v>
      </c>
      <c r="B20" t="s">
        <v>19</v>
      </c>
      <c r="C20" t="s">
        <v>20</v>
      </c>
      <c r="D20" t="s">
        <v>21</v>
      </c>
      <c r="E20" t="s">
        <v>27</v>
      </c>
      <c r="F20" s="6">
        <v>45875</v>
      </c>
      <c r="G20" t="s">
        <v>23</v>
      </c>
      <c r="H20">
        <v>199775.17</v>
      </c>
      <c r="I20">
        <f t="shared" si="0"/>
        <v>43950.537400000001</v>
      </c>
      <c r="J20">
        <v>131226.8207770701</v>
      </c>
      <c r="K20">
        <f t="shared" si="1"/>
        <v>28869.900570955422</v>
      </c>
      <c r="L20" s="9">
        <f t="shared" si="2"/>
        <v>0.52236538854645242</v>
      </c>
      <c r="M20" t="str">
        <f t="shared" si="3"/>
        <v>Complete Data</v>
      </c>
      <c r="N20" t="str">
        <f t="shared" si="4"/>
        <v>Non-compliant</v>
      </c>
    </row>
    <row r="21" spans="1:14">
      <c r="A21" t="s">
        <v>12</v>
      </c>
      <c r="B21" t="s">
        <v>25</v>
      </c>
      <c r="C21" t="s">
        <v>14</v>
      </c>
      <c r="D21" t="s">
        <v>26</v>
      </c>
      <c r="E21" t="s">
        <v>22</v>
      </c>
      <c r="F21" s="6">
        <v>45960</v>
      </c>
      <c r="G21" t="s">
        <v>24</v>
      </c>
      <c r="H21">
        <v>115974.64</v>
      </c>
      <c r="I21">
        <f t="shared" si="0"/>
        <v>104377.17600000001</v>
      </c>
      <c r="J21">
        <v>97894.20181187884</v>
      </c>
      <c r="K21">
        <f t="shared" si="1"/>
        <v>88104.781630690952</v>
      </c>
      <c r="L21" s="9">
        <f t="shared" si="2"/>
        <v>0.1846936575760223</v>
      </c>
      <c r="M21" t="str">
        <f t="shared" si="3"/>
        <v>Complete Data</v>
      </c>
      <c r="N21" t="str">
        <f t="shared" si="4"/>
        <v>Non-compliant</v>
      </c>
    </row>
    <row r="22" spans="1:14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s="6">
        <v>45948</v>
      </c>
      <c r="G22" t="s">
        <v>23</v>
      </c>
      <c r="H22">
        <v>49994.76</v>
      </c>
      <c r="I22">
        <f t="shared" si="0"/>
        <v>10998.8472</v>
      </c>
      <c r="J22">
        <v>43120.467354854511</v>
      </c>
      <c r="K22">
        <f t="shared" si="1"/>
        <v>9486.5028180679928</v>
      </c>
      <c r="L22" s="9">
        <f t="shared" si="2"/>
        <v>0.15942064330087968</v>
      </c>
      <c r="M22" t="str">
        <f t="shared" si="3"/>
        <v>Complete Data</v>
      </c>
      <c r="N22" t="str">
        <f t="shared" si="4"/>
        <v>Non-compliant</v>
      </c>
    </row>
    <row r="23" spans="1:14">
      <c r="A23" t="s">
        <v>19</v>
      </c>
      <c r="B23" t="s">
        <v>25</v>
      </c>
      <c r="C23" t="s">
        <v>21</v>
      </c>
      <c r="D23" t="s">
        <v>26</v>
      </c>
      <c r="E23" t="s">
        <v>22</v>
      </c>
      <c r="F23" s="6">
        <v>45794</v>
      </c>
      <c r="G23" t="s">
        <v>16</v>
      </c>
      <c r="H23">
        <v>38342.39</v>
      </c>
      <c r="I23">
        <f t="shared" si="0"/>
        <v>38342.39</v>
      </c>
      <c r="J23">
        <v>35675.366693734417</v>
      </c>
      <c r="K23">
        <f t="shared" si="1"/>
        <v>35675.366693734417</v>
      </c>
      <c r="L23" s="9">
        <f t="shared" si="2"/>
        <v>7.4758118932915854E-2</v>
      </c>
      <c r="M23" t="str">
        <f t="shared" si="3"/>
        <v>Complete Data</v>
      </c>
      <c r="N23" t="str">
        <f t="shared" si="4"/>
        <v>Compliant</v>
      </c>
    </row>
    <row r="24" spans="1:14">
      <c r="A24" t="s">
        <v>19</v>
      </c>
      <c r="B24" t="s">
        <v>18</v>
      </c>
      <c r="C24" t="s">
        <v>21</v>
      </c>
      <c r="D24" t="s">
        <v>20</v>
      </c>
      <c r="E24" t="s">
        <v>22</v>
      </c>
      <c r="F24" s="6">
        <v>45772</v>
      </c>
      <c r="G24" t="s">
        <v>16</v>
      </c>
      <c r="H24">
        <v>141324.12</v>
      </c>
      <c r="I24">
        <f t="shared" si="0"/>
        <v>141324.12</v>
      </c>
      <c r="J24">
        <v>118384.6312788309</v>
      </c>
      <c r="K24">
        <f t="shared" si="1"/>
        <v>118384.6312788309</v>
      </c>
      <c r="L24" s="9">
        <f t="shared" si="2"/>
        <v>0.19377083387741267</v>
      </c>
      <c r="M24" t="str">
        <f t="shared" si="3"/>
        <v>Complete Data</v>
      </c>
      <c r="N24" t="str">
        <f t="shared" si="4"/>
        <v>Non-compliant</v>
      </c>
    </row>
    <row r="25" spans="1:14">
      <c r="A25" t="s">
        <v>19</v>
      </c>
      <c r="B25" t="s">
        <v>25</v>
      </c>
      <c r="C25" t="s">
        <v>21</v>
      </c>
      <c r="D25" t="s">
        <v>26</v>
      </c>
      <c r="E25" t="s">
        <v>27</v>
      </c>
      <c r="F25" s="6">
        <v>45911</v>
      </c>
      <c r="G25" t="s">
        <v>24</v>
      </c>
      <c r="H25">
        <v>82653.11</v>
      </c>
      <c r="I25">
        <f t="shared" si="0"/>
        <v>74387.798999999999</v>
      </c>
      <c r="J25">
        <v>76911.226260606723</v>
      </c>
      <c r="K25">
        <f t="shared" si="1"/>
        <v>69220.10363454606</v>
      </c>
      <c r="L25" s="9">
        <f t="shared" si="2"/>
        <v>7.4655990010319334E-2</v>
      </c>
      <c r="M25" t="str">
        <f t="shared" si="3"/>
        <v>Complete Data</v>
      </c>
      <c r="N25" t="str">
        <f t="shared" si="4"/>
        <v>Non-compliant</v>
      </c>
    </row>
    <row r="26" spans="1:14">
      <c r="A26" t="s">
        <v>12</v>
      </c>
      <c r="B26" t="s">
        <v>19</v>
      </c>
      <c r="C26" t="s">
        <v>14</v>
      </c>
      <c r="D26" t="s">
        <v>21</v>
      </c>
      <c r="E26" t="s">
        <v>27</v>
      </c>
      <c r="F26" s="6">
        <v>45955</v>
      </c>
      <c r="G26" t="s">
        <v>23</v>
      </c>
      <c r="H26">
        <v>100128.35</v>
      </c>
      <c r="I26">
        <f t="shared" si="0"/>
        <v>22028.237000000001</v>
      </c>
      <c r="J26">
        <v>81722.783801091631</v>
      </c>
      <c r="K26">
        <f t="shared" si="1"/>
        <v>17979.012436240158</v>
      </c>
      <c r="L26" s="9">
        <f t="shared" si="2"/>
        <v>0.22521952071170781</v>
      </c>
      <c r="M26" t="str">
        <f t="shared" si="3"/>
        <v>Complete Data</v>
      </c>
      <c r="N26" t="str">
        <f t="shared" si="4"/>
        <v>Non-compliant</v>
      </c>
    </row>
    <row r="27" spans="1:14">
      <c r="A27" t="s">
        <v>19</v>
      </c>
      <c r="B27" t="s">
        <v>25</v>
      </c>
      <c r="C27" t="s">
        <v>21</v>
      </c>
      <c r="D27" t="s">
        <v>26</v>
      </c>
      <c r="E27" t="s">
        <v>27</v>
      </c>
      <c r="F27" s="6">
        <v>45721</v>
      </c>
      <c r="G27" t="s">
        <v>16</v>
      </c>
      <c r="H27">
        <v>137030.91</v>
      </c>
      <c r="I27">
        <f t="shared" si="0"/>
        <v>137030.91</v>
      </c>
      <c r="J27">
        <v>104736.01518449689</v>
      </c>
      <c r="K27">
        <f t="shared" si="1"/>
        <v>104736.01518449689</v>
      </c>
      <c r="L27" s="9">
        <f t="shared" si="2"/>
        <v>0.30834565128923702</v>
      </c>
      <c r="M27" t="str">
        <f t="shared" si="3"/>
        <v>Complete Data</v>
      </c>
      <c r="N27" t="str">
        <f t="shared" si="4"/>
        <v>Non-compliant</v>
      </c>
    </row>
    <row r="28" spans="1:14">
      <c r="A28" t="s">
        <v>11</v>
      </c>
      <c r="B28" t="s">
        <v>25</v>
      </c>
      <c r="C28" t="s">
        <v>13</v>
      </c>
      <c r="D28" t="s">
        <v>26</v>
      </c>
      <c r="E28" t="s">
        <v>22</v>
      </c>
      <c r="F28" s="6">
        <v>45896</v>
      </c>
      <c r="G28" t="s">
        <v>16</v>
      </c>
      <c r="H28">
        <v>176909.15</v>
      </c>
      <c r="I28">
        <f t="shared" si="0"/>
        <v>176909.15</v>
      </c>
      <c r="J28">
        <v>126249.27601271321</v>
      </c>
      <c r="K28">
        <f t="shared" si="1"/>
        <v>126249.27601271321</v>
      </c>
      <c r="L28" s="9">
        <f t="shared" si="2"/>
        <v>0.40126862970830324</v>
      </c>
      <c r="M28" t="str">
        <f t="shared" si="3"/>
        <v>Complete Data</v>
      </c>
      <c r="N28" t="str">
        <f t="shared" si="4"/>
        <v>Non-compliant</v>
      </c>
    </row>
    <row r="29" spans="1:14">
      <c r="A29" t="s">
        <v>12</v>
      </c>
      <c r="B29" t="s">
        <v>18</v>
      </c>
      <c r="C29" t="s">
        <v>14</v>
      </c>
      <c r="D29" t="s">
        <v>20</v>
      </c>
      <c r="E29" t="s">
        <v>15</v>
      </c>
      <c r="F29" s="6">
        <v>45939</v>
      </c>
      <c r="G29" t="s">
        <v>23</v>
      </c>
      <c r="H29">
        <v>41199.01</v>
      </c>
      <c r="I29">
        <f t="shared" si="0"/>
        <v>9063.7821999999996</v>
      </c>
      <c r="J29">
        <v>27826.95203056739</v>
      </c>
      <c r="K29">
        <f t="shared" si="1"/>
        <v>6121.9294467248255</v>
      </c>
      <c r="L29" s="9">
        <f t="shared" si="2"/>
        <v>0.48054339385584355</v>
      </c>
      <c r="M29" t="str">
        <f t="shared" si="3"/>
        <v>Complete Data</v>
      </c>
      <c r="N29" t="str">
        <f t="shared" si="4"/>
        <v>Non-compliant</v>
      </c>
    </row>
    <row r="30" spans="1:14">
      <c r="A30" t="s">
        <v>11</v>
      </c>
      <c r="B30" t="s">
        <v>18</v>
      </c>
      <c r="C30" t="s">
        <v>13</v>
      </c>
      <c r="D30" t="s">
        <v>20</v>
      </c>
      <c r="E30" t="s">
        <v>27</v>
      </c>
      <c r="F30" s="6">
        <v>45663</v>
      </c>
      <c r="G30" t="s">
        <v>16</v>
      </c>
      <c r="H30">
        <v>96991.56</v>
      </c>
      <c r="I30">
        <f t="shared" si="0"/>
        <v>96991.56</v>
      </c>
      <c r="J30">
        <v>82991.290168253079</v>
      </c>
      <c r="K30">
        <f t="shared" si="1"/>
        <v>82991.290168253079</v>
      </c>
      <c r="L30" s="9">
        <f t="shared" si="2"/>
        <v>0.16869565231921754</v>
      </c>
      <c r="M30" t="str">
        <f t="shared" si="3"/>
        <v>Complete Data</v>
      </c>
      <c r="N30" t="str">
        <f t="shared" si="4"/>
        <v>Non-compliant</v>
      </c>
    </row>
    <row r="31" spans="1:14">
      <c r="A31" t="s">
        <v>12</v>
      </c>
      <c r="B31" t="s">
        <v>18</v>
      </c>
      <c r="C31" t="s">
        <v>14</v>
      </c>
      <c r="D31" t="s">
        <v>20</v>
      </c>
      <c r="E31" t="s">
        <v>22</v>
      </c>
      <c r="F31" s="6">
        <v>46019</v>
      </c>
      <c r="G31" t="s">
        <v>24</v>
      </c>
      <c r="H31">
        <v>105888.93</v>
      </c>
      <c r="I31">
        <f t="shared" si="0"/>
        <v>95300.036999999997</v>
      </c>
      <c r="J31">
        <v>78211.776351233799</v>
      </c>
      <c r="K31">
        <f t="shared" si="1"/>
        <v>70390.598716110428</v>
      </c>
      <c r="L31" s="9">
        <f t="shared" si="2"/>
        <v>0.35387450509336982</v>
      </c>
      <c r="M31" t="str">
        <f t="shared" si="3"/>
        <v>Complete Data</v>
      </c>
      <c r="N31" t="str">
        <f t="shared" si="4"/>
        <v>Non-compliant</v>
      </c>
    </row>
    <row r="32" spans="1:14">
      <c r="A32" t="s">
        <v>25</v>
      </c>
      <c r="B32" t="s">
        <v>11</v>
      </c>
      <c r="C32" t="s">
        <v>26</v>
      </c>
      <c r="D32" t="s">
        <v>13</v>
      </c>
      <c r="E32" t="s">
        <v>27</v>
      </c>
      <c r="F32" s="6">
        <v>45984</v>
      </c>
      <c r="G32" t="s">
        <v>24</v>
      </c>
      <c r="H32">
        <v>29342.45</v>
      </c>
      <c r="I32">
        <f t="shared" si="0"/>
        <v>26408.205000000002</v>
      </c>
      <c r="J32">
        <v>25276.994400169671</v>
      </c>
      <c r="K32">
        <f t="shared" si="1"/>
        <v>22749.294960152703</v>
      </c>
      <c r="L32" s="9">
        <f t="shared" si="2"/>
        <v>0.16083619497906138</v>
      </c>
      <c r="M32" t="str">
        <f t="shared" si="3"/>
        <v>Complete Data</v>
      </c>
      <c r="N32" t="str">
        <f t="shared" si="4"/>
        <v>Non-compliant</v>
      </c>
    </row>
    <row r="33" spans="1:14">
      <c r="A33" t="s">
        <v>18</v>
      </c>
      <c r="B33" t="s">
        <v>12</v>
      </c>
      <c r="C33" t="s">
        <v>20</v>
      </c>
      <c r="D33" t="s">
        <v>14</v>
      </c>
      <c r="E33" t="s">
        <v>22</v>
      </c>
      <c r="F33" s="6">
        <v>45984</v>
      </c>
      <c r="G33" t="s">
        <v>23</v>
      </c>
      <c r="H33">
        <v>192577.59</v>
      </c>
      <c r="I33">
        <f t="shared" si="0"/>
        <v>42367.069799999997</v>
      </c>
      <c r="J33">
        <v>122306.58199258109</v>
      </c>
      <c r="K33">
        <f t="shared" si="1"/>
        <v>26907.448038367842</v>
      </c>
      <c r="L33" s="9">
        <f t="shared" si="2"/>
        <v>0.57454804853986852</v>
      </c>
      <c r="M33" t="str">
        <f t="shared" si="3"/>
        <v>Complete Data</v>
      </c>
      <c r="N33" t="str">
        <f t="shared" si="4"/>
        <v>Non-compliant</v>
      </c>
    </row>
    <row r="34" spans="1:14">
      <c r="A34" t="s">
        <v>18</v>
      </c>
      <c r="B34" t="s">
        <v>25</v>
      </c>
      <c r="C34" t="s">
        <v>20</v>
      </c>
      <c r="D34" t="s">
        <v>26</v>
      </c>
      <c r="E34" t="s">
        <v>22</v>
      </c>
      <c r="F34" s="6">
        <v>45867</v>
      </c>
      <c r="G34" t="s">
        <v>16</v>
      </c>
      <c r="H34">
        <v>142181.48000000001</v>
      </c>
      <c r="I34">
        <f t="shared" si="0"/>
        <v>142181.48000000001</v>
      </c>
      <c r="J34">
        <v>114193.97955951</v>
      </c>
      <c r="K34">
        <f t="shared" si="1"/>
        <v>114193.97955951</v>
      </c>
      <c r="L34" s="9">
        <f t="shared" si="2"/>
        <v>0.24508735529183359</v>
      </c>
      <c r="M34" t="str">
        <f t="shared" si="3"/>
        <v>Complete Data</v>
      </c>
      <c r="N34" t="str">
        <f t="shared" si="4"/>
        <v>Non-compliant</v>
      </c>
    </row>
    <row r="35" spans="1:14">
      <c r="A35" t="s">
        <v>19</v>
      </c>
      <c r="B35" t="s">
        <v>12</v>
      </c>
      <c r="C35" t="s">
        <v>21</v>
      </c>
      <c r="D35" t="s">
        <v>14</v>
      </c>
      <c r="E35" t="s">
        <v>22</v>
      </c>
      <c r="F35" s="6">
        <v>45963</v>
      </c>
      <c r="G35" t="s">
        <v>16</v>
      </c>
      <c r="H35">
        <v>50181.82</v>
      </c>
      <c r="I35">
        <f t="shared" si="0"/>
        <v>50181.82</v>
      </c>
      <c r="J35">
        <v>44145.996133718203</v>
      </c>
      <c r="K35">
        <f t="shared" si="1"/>
        <v>44145.996133718203</v>
      </c>
      <c r="L35" s="9">
        <f t="shared" si="2"/>
        <v>0.13672415156290252</v>
      </c>
      <c r="M35" t="str">
        <f t="shared" si="3"/>
        <v>Complete Data</v>
      </c>
      <c r="N35" t="str">
        <f t="shared" si="4"/>
        <v>Non-compliant</v>
      </c>
    </row>
    <row r="36" spans="1:14">
      <c r="A36" t="s">
        <v>19</v>
      </c>
      <c r="B36" t="s">
        <v>18</v>
      </c>
      <c r="C36" t="s">
        <v>21</v>
      </c>
      <c r="D36" t="s">
        <v>20</v>
      </c>
      <c r="E36" t="s">
        <v>15</v>
      </c>
      <c r="F36" s="6">
        <v>46000</v>
      </c>
      <c r="G36" t="s">
        <v>24</v>
      </c>
      <c r="H36">
        <v>125485.95</v>
      </c>
      <c r="I36">
        <f t="shared" si="0"/>
        <v>112937.355</v>
      </c>
      <c r="J36">
        <v>81797.92883446443</v>
      </c>
      <c r="K36">
        <f t="shared" si="1"/>
        <v>73618.13595101799</v>
      </c>
      <c r="L36" s="9">
        <f t="shared" si="2"/>
        <v>0.53409691159720674</v>
      </c>
      <c r="M36" t="str">
        <f t="shared" si="3"/>
        <v>Complete Data</v>
      </c>
      <c r="N36" t="str">
        <f t="shared" si="4"/>
        <v>Non-compliant</v>
      </c>
    </row>
    <row r="37" spans="1:14">
      <c r="A37" t="s">
        <v>19</v>
      </c>
      <c r="B37" t="s">
        <v>25</v>
      </c>
      <c r="C37" t="s">
        <v>21</v>
      </c>
      <c r="D37" t="s">
        <v>26</v>
      </c>
      <c r="E37" t="s">
        <v>15</v>
      </c>
      <c r="F37" s="6">
        <v>45917</v>
      </c>
      <c r="G37" t="s">
        <v>23</v>
      </c>
      <c r="H37">
        <v>76874</v>
      </c>
      <c r="I37">
        <f t="shared" si="0"/>
        <v>16912.28</v>
      </c>
      <c r="J37">
        <v>51232.428932864408</v>
      </c>
      <c r="K37">
        <f t="shared" si="1"/>
        <v>11271.134365230169</v>
      </c>
      <c r="L37" s="9">
        <f t="shared" si="2"/>
        <v>0.50049493262825018</v>
      </c>
      <c r="M37" t="str">
        <f t="shared" si="3"/>
        <v>Complete Data</v>
      </c>
      <c r="N37" t="str">
        <f t="shared" si="4"/>
        <v>Non-compliant</v>
      </c>
    </row>
    <row r="38" spans="1:14">
      <c r="A38" t="s">
        <v>19</v>
      </c>
      <c r="B38" t="s">
        <v>18</v>
      </c>
      <c r="C38" t="s">
        <v>21</v>
      </c>
      <c r="D38" t="s">
        <v>20</v>
      </c>
      <c r="E38" t="s">
        <v>22</v>
      </c>
      <c r="F38" s="6">
        <v>45701</v>
      </c>
      <c r="G38" t="s">
        <v>16</v>
      </c>
      <c r="H38">
        <v>115996.1</v>
      </c>
      <c r="I38">
        <f t="shared" si="0"/>
        <v>115996.1</v>
      </c>
      <c r="J38">
        <v>86298.818486595119</v>
      </c>
      <c r="K38">
        <f t="shared" si="1"/>
        <v>86298.818486595119</v>
      </c>
      <c r="L38" s="9">
        <f t="shared" si="2"/>
        <v>0.34412153067909956</v>
      </c>
      <c r="M38" t="str">
        <f t="shared" si="3"/>
        <v>Complete Data</v>
      </c>
      <c r="N38" t="str">
        <f t="shared" si="4"/>
        <v>Non-compliant</v>
      </c>
    </row>
    <row r="39" spans="1:14">
      <c r="A39" t="s">
        <v>11</v>
      </c>
      <c r="B39" t="s">
        <v>25</v>
      </c>
      <c r="C39" t="s">
        <v>13</v>
      </c>
      <c r="D39" t="s">
        <v>26</v>
      </c>
      <c r="E39" t="s">
        <v>15</v>
      </c>
      <c r="F39" s="6">
        <v>45884</v>
      </c>
      <c r="G39" t="s">
        <v>16</v>
      </c>
      <c r="H39">
        <v>50285.66</v>
      </c>
      <c r="I39">
        <f t="shared" si="0"/>
        <v>50285.66</v>
      </c>
      <c r="J39">
        <v>42941.843023813257</v>
      </c>
      <c r="K39">
        <f t="shared" si="1"/>
        <v>42941.843023813257</v>
      </c>
      <c r="L39" s="9">
        <f t="shared" si="2"/>
        <v>0.17101774071770179</v>
      </c>
      <c r="M39" t="str">
        <f t="shared" si="3"/>
        <v>Complete Data</v>
      </c>
      <c r="N39" t="str">
        <f t="shared" si="4"/>
        <v>Non-compliant</v>
      </c>
    </row>
    <row r="40" spans="1:14">
      <c r="A40" t="s">
        <v>12</v>
      </c>
      <c r="B40" t="s">
        <v>18</v>
      </c>
      <c r="C40" t="s">
        <v>14</v>
      </c>
      <c r="D40" t="s">
        <v>20</v>
      </c>
      <c r="E40" t="s">
        <v>22</v>
      </c>
      <c r="F40" s="6">
        <v>45983</v>
      </c>
      <c r="G40" t="s">
        <v>23</v>
      </c>
      <c r="H40">
        <v>53871.43</v>
      </c>
      <c r="I40">
        <f t="shared" si="0"/>
        <v>11851.714599999999</v>
      </c>
      <c r="J40">
        <v>40471.009697406444</v>
      </c>
      <c r="K40">
        <f t="shared" si="1"/>
        <v>8903.6221334294169</v>
      </c>
      <c r="L40" s="9">
        <f t="shared" si="2"/>
        <v>0.3311115883390553</v>
      </c>
      <c r="M40" t="str">
        <f t="shared" si="3"/>
        <v>Complete Data</v>
      </c>
      <c r="N40" t="str">
        <f t="shared" si="4"/>
        <v>Non-compliant</v>
      </c>
    </row>
    <row r="41" spans="1:14">
      <c r="A41" t="s">
        <v>25</v>
      </c>
      <c r="B41" t="s">
        <v>19</v>
      </c>
      <c r="C41" t="s">
        <v>26</v>
      </c>
      <c r="D41" t="s">
        <v>21</v>
      </c>
      <c r="E41" t="s">
        <v>22</v>
      </c>
      <c r="F41" s="6">
        <v>45859</v>
      </c>
      <c r="G41" t="s">
        <v>16</v>
      </c>
      <c r="H41">
        <v>57713.94</v>
      </c>
      <c r="I41">
        <f t="shared" si="0"/>
        <v>57713.94</v>
      </c>
      <c r="J41">
        <v>40720.619923080267</v>
      </c>
      <c r="K41">
        <f t="shared" si="1"/>
        <v>40720.619923080267</v>
      </c>
      <c r="L41" s="9">
        <f t="shared" si="2"/>
        <v>0.41731486674366658</v>
      </c>
      <c r="M41" t="str">
        <f t="shared" si="3"/>
        <v>Complete Data</v>
      </c>
      <c r="N41" t="str">
        <f t="shared" si="4"/>
        <v>Non-compliant</v>
      </c>
    </row>
    <row r="42" spans="1:14">
      <c r="A42" t="s">
        <v>19</v>
      </c>
      <c r="B42" t="s">
        <v>11</v>
      </c>
      <c r="C42" t="s">
        <v>21</v>
      </c>
      <c r="D42" t="s">
        <v>13</v>
      </c>
      <c r="E42" t="s">
        <v>15</v>
      </c>
      <c r="F42" s="6">
        <v>45981</v>
      </c>
      <c r="G42" t="s">
        <v>23</v>
      </c>
      <c r="H42">
        <v>171263.81</v>
      </c>
      <c r="I42">
        <f t="shared" si="0"/>
        <v>37678.038200000003</v>
      </c>
      <c r="J42">
        <v>133289.43794787861</v>
      </c>
      <c r="K42">
        <f t="shared" si="1"/>
        <v>29323.676348533296</v>
      </c>
      <c r="L42" s="9">
        <f t="shared" si="2"/>
        <v>0.28490158437738222</v>
      </c>
      <c r="M42" t="str">
        <f t="shared" si="3"/>
        <v>Complete Data</v>
      </c>
      <c r="N42" t="str">
        <f t="shared" si="4"/>
        <v>Non-compliant</v>
      </c>
    </row>
    <row r="43" spans="1:14">
      <c r="A43" t="s">
        <v>12</v>
      </c>
      <c r="B43" t="s">
        <v>11</v>
      </c>
      <c r="C43" t="s">
        <v>14</v>
      </c>
      <c r="D43" t="s">
        <v>13</v>
      </c>
      <c r="E43" t="s">
        <v>22</v>
      </c>
      <c r="F43" s="6">
        <v>45829</v>
      </c>
      <c r="G43" t="s">
        <v>24</v>
      </c>
      <c r="H43">
        <v>137865.03</v>
      </c>
      <c r="I43">
        <f t="shared" si="0"/>
        <v>124078.527</v>
      </c>
      <c r="J43">
        <v>83186.498985140875</v>
      </c>
      <c r="K43">
        <f t="shared" si="1"/>
        <v>74867.849086626797</v>
      </c>
      <c r="L43" s="9">
        <f t="shared" si="2"/>
        <v>0.65730054374119073</v>
      </c>
      <c r="M43" t="str">
        <f t="shared" si="3"/>
        <v>Complete Data</v>
      </c>
      <c r="N43" t="str">
        <f t="shared" si="4"/>
        <v>Non-compliant</v>
      </c>
    </row>
    <row r="44" spans="1:14">
      <c r="A44" t="s">
        <v>18</v>
      </c>
      <c r="B44" t="s">
        <v>11</v>
      </c>
      <c r="C44" t="s">
        <v>20</v>
      </c>
      <c r="D44" t="s">
        <v>13</v>
      </c>
      <c r="E44" t="s">
        <v>27</v>
      </c>
      <c r="F44" s="6">
        <v>45864</v>
      </c>
      <c r="G44" t="s">
        <v>24</v>
      </c>
      <c r="H44">
        <v>160960.20000000001</v>
      </c>
      <c r="I44">
        <f t="shared" si="0"/>
        <v>144864.18000000002</v>
      </c>
      <c r="J44">
        <v>113860.5952446851</v>
      </c>
      <c r="K44">
        <f t="shared" si="1"/>
        <v>102474.53572021659</v>
      </c>
      <c r="L44" s="9">
        <f t="shared" si="2"/>
        <v>0.41366027161634294</v>
      </c>
      <c r="M44" t="str">
        <f t="shared" si="3"/>
        <v>Complete Data</v>
      </c>
      <c r="N44" t="str">
        <f t="shared" si="4"/>
        <v>Non-compliant</v>
      </c>
    </row>
    <row r="45" spans="1:14">
      <c r="A45" t="s">
        <v>19</v>
      </c>
      <c r="B45" t="s">
        <v>18</v>
      </c>
      <c r="C45" t="s">
        <v>21</v>
      </c>
      <c r="D45" t="s">
        <v>20</v>
      </c>
      <c r="E45" t="s">
        <v>15</v>
      </c>
      <c r="F45" s="6">
        <v>45852</v>
      </c>
      <c r="G45" t="s">
        <v>23</v>
      </c>
      <c r="H45">
        <v>113503.74</v>
      </c>
      <c r="I45">
        <f t="shared" si="0"/>
        <v>24970.822800000002</v>
      </c>
      <c r="J45">
        <v>93903.013005272805</v>
      </c>
      <c r="K45">
        <f t="shared" si="1"/>
        <v>20658.662861160017</v>
      </c>
      <c r="L45" s="9">
        <f t="shared" si="2"/>
        <v>0.20873373885912042</v>
      </c>
      <c r="M45" t="str">
        <f t="shared" si="3"/>
        <v>Complete Data</v>
      </c>
      <c r="N45" t="str">
        <f t="shared" si="4"/>
        <v>Non-compliant</v>
      </c>
    </row>
    <row r="46" spans="1:14">
      <c r="A46" t="s">
        <v>19</v>
      </c>
      <c r="B46" t="s">
        <v>11</v>
      </c>
      <c r="C46" t="s">
        <v>21</v>
      </c>
      <c r="D46" t="s">
        <v>13</v>
      </c>
      <c r="E46" t="s">
        <v>22</v>
      </c>
      <c r="F46" s="6">
        <v>45884</v>
      </c>
      <c r="G46" t="s">
        <v>24</v>
      </c>
      <c r="H46">
        <v>30235.41</v>
      </c>
      <c r="I46">
        <f t="shared" si="0"/>
        <v>27211.868999999999</v>
      </c>
      <c r="J46">
        <v>27776.988551715891</v>
      </c>
      <c r="K46">
        <f t="shared" si="1"/>
        <v>24999.289696544303</v>
      </c>
      <c r="L46" s="9">
        <f t="shared" si="2"/>
        <v>8.8505686774034392E-2</v>
      </c>
      <c r="M46" t="str">
        <f t="shared" si="3"/>
        <v>Complete Data</v>
      </c>
      <c r="N46" t="str">
        <f t="shared" si="4"/>
        <v>Non-compliant</v>
      </c>
    </row>
    <row r="47" spans="1:14">
      <c r="A47" t="s">
        <v>25</v>
      </c>
      <c r="B47" t="s">
        <v>11</v>
      </c>
      <c r="C47" t="s">
        <v>26</v>
      </c>
      <c r="D47" t="s">
        <v>13</v>
      </c>
      <c r="E47" t="s">
        <v>27</v>
      </c>
      <c r="F47" s="6">
        <v>45866</v>
      </c>
      <c r="G47" t="s">
        <v>23</v>
      </c>
      <c r="H47">
        <v>181288.66</v>
      </c>
      <c r="I47">
        <f t="shared" si="0"/>
        <v>39883.5052</v>
      </c>
      <c r="J47">
        <v>129567.3933585332</v>
      </c>
      <c r="K47">
        <f t="shared" si="1"/>
        <v>28504.826538877303</v>
      </c>
      <c r="L47" s="9">
        <f t="shared" si="2"/>
        <v>0.39918428009388124</v>
      </c>
      <c r="M47" t="str">
        <f t="shared" si="3"/>
        <v>Complete Data</v>
      </c>
      <c r="N47" t="str">
        <f t="shared" si="4"/>
        <v>Non-compliant</v>
      </c>
    </row>
    <row r="48" spans="1:14">
      <c r="A48" t="s">
        <v>25</v>
      </c>
      <c r="B48" t="s">
        <v>18</v>
      </c>
      <c r="C48" t="s">
        <v>26</v>
      </c>
      <c r="D48" t="s">
        <v>20</v>
      </c>
      <c r="E48" t="s">
        <v>22</v>
      </c>
      <c r="F48" s="6">
        <v>45673</v>
      </c>
      <c r="G48" t="s">
        <v>23</v>
      </c>
      <c r="H48">
        <v>160296.34</v>
      </c>
      <c r="I48">
        <f t="shared" si="0"/>
        <v>35265.194799999997</v>
      </c>
      <c r="J48">
        <v>129334.2135447695</v>
      </c>
      <c r="K48">
        <f t="shared" si="1"/>
        <v>28453.526979849292</v>
      </c>
      <c r="L48" s="9">
        <f t="shared" si="2"/>
        <v>0.23939625569001374</v>
      </c>
      <c r="M48" t="str">
        <f t="shared" si="3"/>
        <v>Complete Data</v>
      </c>
      <c r="N48" t="str">
        <f t="shared" si="4"/>
        <v>Non-compliant</v>
      </c>
    </row>
    <row r="49" spans="1:14">
      <c r="A49" t="s">
        <v>12</v>
      </c>
      <c r="B49" t="s">
        <v>25</v>
      </c>
      <c r="C49" t="s">
        <v>14</v>
      </c>
      <c r="D49" t="s">
        <v>26</v>
      </c>
      <c r="E49" t="s">
        <v>22</v>
      </c>
      <c r="F49" s="6">
        <v>45758</v>
      </c>
      <c r="G49" t="s">
        <v>24</v>
      </c>
      <c r="H49">
        <v>35738.29</v>
      </c>
      <c r="I49">
        <f t="shared" si="0"/>
        <v>32164.461000000003</v>
      </c>
      <c r="J49">
        <v>22624.491515046921</v>
      </c>
      <c r="K49">
        <f t="shared" si="1"/>
        <v>20362.04236354223</v>
      </c>
      <c r="L49" s="9">
        <f t="shared" si="2"/>
        <v>0.57962842949338578</v>
      </c>
      <c r="M49" t="str">
        <f t="shared" si="3"/>
        <v>Complete Data</v>
      </c>
      <c r="N49" t="str">
        <f t="shared" si="4"/>
        <v>Non-compliant</v>
      </c>
    </row>
    <row r="50" spans="1:14">
      <c r="A50" t="s">
        <v>25</v>
      </c>
      <c r="B50" t="s">
        <v>18</v>
      </c>
      <c r="C50" t="s">
        <v>26</v>
      </c>
      <c r="D50" t="s">
        <v>20</v>
      </c>
      <c r="E50" t="s">
        <v>27</v>
      </c>
      <c r="F50" s="6">
        <v>45783</v>
      </c>
      <c r="G50" t="s">
        <v>24</v>
      </c>
      <c r="H50">
        <v>55443.39</v>
      </c>
      <c r="I50">
        <f t="shared" si="0"/>
        <v>49899.050999999999</v>
      </c>
      <c r="J50">
        <v>51875.27256803833</v>
      </c>
      <c r="K50">
        <f t="shared" si="1"/>
        <v>46687.745311234496</v>
      </c>
      <c r="L50" s="9">
        <f t="shared" si="2"/>
        <v>6.8782625234051847E-2</v>
      </c>
      <c r="M50" t="str">
        <f t="shared" si="3"/>
        <v>Complete Data</v>
      </c>
      <c r="N50" t="str">
        <f t="shared" si="4"/>
        <v>Non-compliant</v>
      </c>
    </row>
    <row r="51" spans="1:14">
      <c r="A51" t="s">
        <v>25</v>
      </c>
      <c r="B51" t="s">
        <v>11</v>
      </c>
      <c r="C51" t="s">
        <v>26</v>
      </c>
      <c r="D51" t="s">
        <v>13</v>
      </c>
      <c r="E51" t="s">
        <v>22</v>
      </c>
      <c r="F51" s="6">
        <v>45896</v>
      </c>
      <c r="G51" t="s">
        <v>16</v>
      </c>
      <c r="H51">
        <v>83245.600000000006</v>
      </c>
      <c r="I51">
        <f t="shared" si="0"/>
        <v>83245.600000000006</v>
      </c>
      <c r="J51">
        <v>77489.627667385124</v>
      </c>
      <c r="K51">
        <f t="shared" si="1"/>
        <v>77489.627667385124</v>
      </c>
      <c r="L51" s="9">
        <f t="shared" si="2"/>
        <v>7.4280552196246158E-2</v>
      </c>
      <c r="M51" t="str">
        <f t="shared" si="3"/>
        <v>Complete Data</v>
      </c>
      <c r="N51" t="str">
        <f t="shared" si="4"/>
        <v>Compliant</v>
      </c>
    </row>
    <row r="52" spans="1:14">
      <c r="A52" t="s">
        <v>12</v>
      </c>
      <c r="B52" t="s">
        <v>18</v>
      </c>
      <c r="C52" t="s">
        <v>14</v>
      </c>
      <c r="D52" t="s">
        <v>20</v>
      </c>
      <c r="E52" t="s">
        <v>27</v>
      </c>
      <c r="F52" s="6">
        <v>46015</v>
      </c>
      <c r="G52" t="s">
        <v>16</v>
      </c>
      <c r="H52">
        <v>51248.79</v>
      </c>
      <c r="I52">
        <f t="shared" si="0"/>
        <v>51248.79</v>
      </c>
      <c r="J52">
        <v>39952.337070935042</v>
      </c>
      <c r="K52">
        <f t="shared" si="1"/>
        <v>39952.337070935042</v>
      </c>
      <c r="L52" s="9">
        <f t="shared" si="2"/>
        <v>0.28274823845744496</v>
      </c>
      <c r="M52" t="str">
        <f t="shared" si="3"/>
        <v>Complete Data</v>
      </c>
      <c r="N52" t="str">
        <f t="shared" si="4"/>
        <v>Non-compliant</v>
      </c>
    </row>
    <row r="53" spans="1:14">
      <c r="A53" t="s">
        <v>19</v>
      </c>
      <c r="B53" t="s">
        <v>18</v>
      </c>
      <c r="C53" t="s">
        <v>21</v>
      </c>
      <c r="D53" t="s">
        <v>20</v>
      </c>
      <c r="E53" t="s">
        <v>27</v>
      </c>
      <c r="F53" s="6">
        <v>45912</v>
      </c>
      <c r="G53" t="s">
        <v>24</v>
      </c>
      <c r="H53">
        <v>155362.35999999999</v>
      </c>
      <c r="I53">
        <f t="shared" si="0"/>
        <v>139826.12399999998</v>
      </c>
      <c r="J53">
        <v>146595.8660960276</v>
      </c>
      <c r="K53">
        <f t="shared" si="1"/>
        <v>131936.27948642484</v>
      </c>
      <c r="L53" s="9">
        <f t="shared" si="2"/>
        <v>5.9800416870076582E-2</v>
      </c>
      <c r="M53" t="str">
        <f t="shared" si="3"/>
        <v>Complete Data</v>
      </c>
      <c r="N53" t="str">
        <f t="shared" si="4"/>
        <v>Non-compliant</v>
      </c>
    </row>
    <row r="54" spans="1:14">
      <c r="A54" t="s">
        <v>18</v>
      </c>
      <c r="B54" t="s">
        <v>25</v>
      </c>
      <c r="C54" t="s">
        <v>20</v>
      </c>
      <c r="D54" t="s">
        <v>26</v>
      </c>
      <c r="E54" t="s">
        <v>27</v>
      </c>
      <c r="F54" s="6">
        <v>45736</v>
      </c>
      <c r="G54" t="s">
        <v>24</v>
      </c>
      <c r="H54">
        <v>129804.71</v>
      </c>
      <c r="I54">
        <f t="shared" si="0"/>
        <v>116824.239</v>
      </c>
      <c r="J54">
        <v>114311.5641238072</v>
      </c>
      <c r="K54">
        <f t="shared" si="1"/>
        <v>102880.40771142648</v>
      </c>
      <c r="L54" s="9">
        <f t="shared" si="2"/>
        <v>0.13553437042828553</v>
      </c>
      <c r="M54" t="str">
        <f t="shared" si="3"/>
        <v>Complete Data</v>
      </c>
      <c r="N54" t="str">
        <f t="shared" si="4"/>
        <v>Compliant</v>
      </c>
    </row>
    <row r="55" spans="1:14">
      <c r="A55" t="s">
        <v>12</v>
      </c>
      <c r="B55" t="s">
        <v>25</v>
      </c>
      <c r="C55" t="s">
        <v>14</v>
      </c>
      <c r="D55" t="s">
        <v>26</v>
      </c>
      <c r="E55" t="s">
        <v>27</v>
      </c>
      <c r="F55" s="6">
        <v>45844</v>
      </c>
      <c r="G55" t="s">
        <v>23</v>
      </c>
      <c r="H55">
        <v>113164.12</v>
      </c>
      <c r="I55">
        <f t="shared" si="0"/>
        <v>24896.106400000001</v>
      </c>
      <c r="J55">
        <v>84329.891390430712</v>
      </c>
      <c r="K55">
        <f t="shared" si="1"/>
        <v>18552.576105894757</v>
      </c>
      <c r="L55" s="9">
        <f t="shared" si="2"/>
        <v>0.34192180416873197</v>
      </c>
      <c r="M55" t="str">
        <f t="shared" si="3"/>
        <v>Complete Data</v>
      </c>
      <c r="N55" t="str">
        <f t="shared" si="4"/>
        <v>Non-compliant</v>
      </c>
    </row>
    <row r="56" spans="1:14">
      <c r="A56" t="s">
        <v>18</v>
      </c>
      <c r="B56" t="s">
        <v>11</v>
      </c>
      <c r="C56" t="s">
        <v>20</v>
      </c>
      <c r="D56" t="s">
        <v>13</v>
      </c>
      <c r="E56" t="s">
        <v>15</v>
      </c>
      <c r="F56" s="6">
        <v>45899</v>
      </c>
      <c r="G56" t="s">
        <v>16</v>
      </c>
      <c r="H56">
        <v>72961.279999999999</v>
      </c>
      <c r="I56">
        <f t="shared" si="0"/>
        <v>72961.279999999999</v>
      </c>
      <c r="J56">
        <v>68520.86354978579</v>
      </c>
      <c r="K56">
        <f t="shared" si="1"/>
        <v>68520.86354978579</v>
      </c>
      <c r="L56" s="9">
        <f t="shared" si="2"/>
        <v>6.4803860024150117E-2</v>
      </c>
      <c r="M56" t="str">
        <f t="shared" si="3"/>
        <v>Complete Data</v>
      </c>
      <c r="N56" t="str">
        <f t="shared" si="4"/>
        <v>Compliant</v>
      </c>
    </row>
    <row r="57" spans="1:14">
      <c r="A57" t="s">
        <v>12</v>
      </c>
      <c r="B57" t="s">
        <v>25</v>
      </c>
      <c r="C57" t="s">
        <v>14</v>
      </c>
      <c r="D57" t="s">
        <v>26</v>
      </c>
      <c r="E57" t="s">
        <v>22</v>
      </c>
      <c r="F57" s="6">
        <v>45946</v>
      </c>
      <c r="G57" t="s">
        <v>16</v>
      </c>
      <c r="H57">
        <v>25651.7</v>
      </c>
      <c r="I57">
        <f t="shared" si="0"/>
        <v>25651.7</v>
      </c>
      <c r="J57">
        <v>21583.825011853231</v>
      </c>
      <c r="K57">
        <f t="shared" si="1"/>
        <v>21583.825011853231</v>
      </c>
      <c r="L57" s="9">
        <f t="shared" si="2"/>
        <v>0.18846867901833003</v>
      </c>
      <c r="M57" t="str">
        <f t="shared" si="3"/>
        <v>Complete Data</v>
      </c>
      <c r="N57" t="str">
        <f t="shared" si="4"/>
        <v>Non-compliant</v>
      </c>
    </row>
    <row r="58" spans="1:14">
      <c r="A58" t="s">
        <v>11</v>
      </c>
      <c r="B58" t="s">
        <v>19</v>
      </c>
      <c r="C58" t="s">
        <v>13</v>
      </c>
      <c r="D58" t="s">
        <v>21</v>
      </c>
      <c r="E58" t="s">
        <v>27</v>
      </c>
      <c r="F58" s="6">
        <v>45804</v>
      </c>
      <c r="G58" t="s">
        <v>23</v>
      </c>
      <c r="H58">
        <v>78916.09</v>
      </c>
      <c r="I58">
        <f t="shared" si="0"/>
        <v>17361.539799999999</v>
      </c>
      <c r="J58">
        <v>53918.040214201908</v>
      </c>
      <c r="K58">
        <f t="shared" si="1"/>
        <v>11861.968847124421</v>
      </c>
      <c r="L58" s="9">
        <f t="shared" si="2"/>
        <v>0.46363053416792477</v>
      </c>
      <c r="M58" t="str">
        <f t="shared" si="3"/>
        <v>Complete Data</v>
      </c>
      <c r="N58" t="str">
        <f t="shared" si="4"/>
        <v>Non-compliant</v>
      </c>
    </row>
    <row r="59" spans="1:14">
      <c r="A59" t="s">
        <v>12</v>
      </c>
      <c r="B59" t="s">
        <v>18</v>
      </c>
      <c r="C59" t="s">
        <v>14</v>
      </c>
      <c r="D59" t="s">
        <v>20</v>
      </c>
      <c r="E59" t="s">
        <v>22</v>
      </c>
      <c r="F59" s="6">
        <v>46004</v>
      </c>
      <c r="G59" t="s">
        <v>24</v>
      </c>
      <c r="H59">
        <v>73614.759999999995</v>
      </c>
      <c r="I59">
        <f t="shared" si="0"/>
        <v>66253.284</v>
      </c>
      <c r="J59">
        <v>49360.993335713123</v>
      </c>
      <c r="K59">
        <f t="shared" si="1"/>
        <v>44424.894002141809</v>
      </c>
      <c r="L59" s="9">
        <f t="shared" si="2"/>
        <v>0.49135491458473263</v>
      </c>
      <c r="M59" t="str">
        <f t="shared" si="3"/>
        <v>Complete Data</v>
      </c>
      <c r="N59" t="str">
        <f t="shared" si="4"/>
        <v>Non-compliant</v>
      </c>
    </row>
    <row r="60" spans="1:14">
      <c r="A60" t="s">
        <v>12</v>
      </c>
      <c r="B60" t="s">
        <v>25</v>
      </c>
      <c r="C60" t="s">
        <v>14</v>
      </c>
      <c r="D60" t="s">
        <v>26</v>
      </c>
      <c r="E60" t="s">
        <v>22</v>
      </c>
      <c r="F60" s="6">
        <v>46001</v>
      </c>
      <c r="G60" t="s">
        <v>23</v>
      </c>
      <c r="H60">
        <v>34021.71</v>
      </c>
      <c r="I60">
        <f t="shared" si="0"/>
        <v>7484.7762000000002</v>
      </c>
      <c r="J60">
        <v>28856.372035879969</v>
      </c>
      <c r="K60">
        <f t="shared" si="1"/>
        <v>6348.4018478935932</v>
      </c>
      <c r="L60" s="9">
        <f t="shared" si="2"/>
        <v>0.17900164156802037</v>
      </c>
      <c r="M60" t="str">
        <f t="shared" si="3"/>
        <v>Complete Data</v>
      </c>
      <c r="N60" t="str">
        <f t="shared" si="4"/>
        <v>Non-compliant</v>
      </c>
    </row>
    <row r="61" spans="1:14">
      <c r="A61" t="s">
        <v>25</v>
      </c>
      <c r="B61" t="s">
        <v>12</v>
      </c>
      <c r="C61" t="s">
        <v>26</v>
      </c>
      <c r="D61" t="s">
        <v>14</v>
      </c>
      <c r="E61" t="s">
        <v>15</v>
      </c>
      <c r="F61" s="6">
        <v>45726</v>
      </c>
      <c r="G61" t="s">
        <v>23</v>
      </c>
      <c r="H61">
        <v>30601.42</v>
      </c>
      <c r="I61">
        <f t="shared" si="0"/>
        <v>6732.3123999999998</v>
      </c>
      <c r="J61">
        <v>27950.87982751122</v>
      </c>
      <c r="K61">
        <f t="shared" si="1"/>
        <v>6149.1935620524682</v>
      </c>
      <c r="L61" s="9">
        <f t="shared" si="2"/>
        <v>9.4828505894828108E-2</v>
      </c>
      <c r="M61" t="str">
        <f t="shared" si="3"/>
        <v>Complete Data</v>
      </c>
      <c r="N61" t="str">
        <f t="shared" si="4"/>
        <v>Compliant</v>
      </c>
    </row>
    <row r="62" spans="1:14">
      <c r="A62" t="s">
        <v>11</v>
      </c>
      <c r="B62" t="s">
        <v>18</v>
      </c>
      <c r="C62" t="s">
        <v>13</v>
      </c>
      <c r="D62" t="s">
        <v>20</v>
      </c>
      <c r="E62" t="s">
        <v>15</v>
      </c>
      <c r="F62" s="6">
        <v>46002</v>
      </c>
      <c r="G62" t="s">
        <v>24</v>
      </c>
      <c r="H62">
        <v>55446.95</v>
      </c>
      <c r="I62">
        <f t="shared" si="0"/>
        <v>49902.254999999997</v>
      </c>
      <c r="J62">
        <v>52204.029214429298</v>
      </c>
      <c r="K62">
        <f t="shared" si="1"/>
        <v>46983.626292986366</v>
      </c>
      <c r="L62" s="9">
        <f t="shared" si="2"/>
        <v>6.2120124334662505E-2</v>
      </c>
      <c r="M62" t="str">
        <f t="shared" si="3"/>
        <v>Complete Data</v>
      </c>
      <c r="N62" t="str">
        <f t="shared" si="4"/>
        <v>Compliant</v>
      </c>
    </row>
    <row r="63" spans="1:14">
      <c r="A63" t="s">
        <v>11</v>
      </c>
      <c r="B63" t="s">
        <v>18</v>
      </c>
      <c r="C63" t="s">
        <v>13</v>
      </c>
      <c r="D63" t="s">
        <v>20</v>
      </c>
      <c r="E63" t="s">
        <v>27</v>
      </c>
      <c r="F63" s="6">
        <v>45830</v>
      </c>
      <c r="G63" t="s">
        <v>24</v>
      </c>
      <c r="H63">
        <v>143178.72</v>
      </c>
      <c r="I63">
        <f t="shared" si="0"/>
        <v>128860.848</v>
      </c>
      <c r="J63">
        <v>87236.344796288904</v>
      </c>
      <c r="K63">
        <f t="shared" si="1"/>
        <v>78512.710316660014</v>
      </c>
      <c r="L63" s="9">
        <f t="shared" si="2"/>
        <v>0.64127371836068636</v>
      </c>
      <c r="M63" t="str">
        <f t="shared" si="3"/>
        <v>Complete Data</v>
      </c>
      <c r="N63" t="str">
        <f t="shared" si="4"/>
        <v>Non-compliant</v>
      </c>
    </row>
    <row r="64" spans="1:14">
      <c r="A64" t="s">
        <v>18</v>
      </c>
      <c r="B64" t="s">
        <v>12</v>
      </c>
      <c r="C64" t="s">
        <v>20</v>
      </c>
      <c r="D64" t="s">
        <v>14</v>
      </c>
      <c r="E64" t="s">
        <v>27</v>
      </c>
      <c r="F64" s="6">
        <v>45776</v>
      </c>
      <c r="G64" t="s">
        <v>24</v>
      </c>
      <c r="H64">
        <v>91996.42</v>
      </c>
      <c r="I64">
        <f t="shared" si="0"/>
        <v>82796.778000000006</v>
      </c>
      <c r="J64">
        <v>79028.064982689772</v>
      </c>
      <c r="K64">
        <f t="shared" si="1"/>
        <v>71125.258484420803</v>
      </c>
      <c r="L64" s="9">
        <f t="shared" si="2"/>
        <v>0.16409809629213115</v>
      </c>
      <c r="M64" t="str">
        <f t="shared" si="3"/>
        <v>Complete Data</v>
      </c>
      <c r="N64" t="str">
        <f t="shared" si="4"/>
        <v>Non-compliant</v>
      </c>
    </row>
    <row r="65" spans="1:14">
      <c r="A65" t="s">
        <v>19</v>
      </c>
      <c r="B65" t="s">
        <v>12</v>
      </c>
      <c r="C65" t="s">
        <v>21</v>
      </c>
      <c r="D65" t="s">
        <v>14</v>
      </c>
      <c r="E65" t="s">
        <v>15</v>
      </c>
      <c r="F65" s="6">
        <v>45924</v>
      </c>
      <c r="G65" t="s">
        <v>16</v>
      </c>
      <c r="H65">
        <v>71631.13</v>
      </c>
      <c r="I65">
        <f t="shared" si="0"/>
        <v>71631.13</v>
      </c>
      <c r="J65">
        <v>56609.173673167548</v>
      </c>
      <c r="K65">
        <f t="shared" si="1"/>
        <v>56609.173673167548</v>
      </c>
      <c r="L65" s="9">
        <f t="shared" si="2"/>
        <v>0.26536257910354882</v>
      </c>
      <c r="M65" t="str">
        <f t="shared" si="3"/>
        <v>Complete Data</v>
      </c>
      <c r="N65" t="str">
        <f t="shared" si="4"/>
        <v>Non-compliant</v>
      </c>
    </row>
    <row r="66" spans="1:14">
      <c r="A66" t="s">
        <v>12</v>
      </c>
      <c r="B66" t="s">
        <v>25</v>
      </c>
      <c r="C66" t="s">
        <v>14</v>
      </c>
      <c r="D66" t="s">
        <v>26</v>
      </c>
      <c r="E66" t="s">
        <v>15</v>
      </c>
      <c r="F66" s="6">
        <v>45774</v>
      </c>
      <c r="G66" t="s">
        <v>23</v>
      </c>
      <c r="H66">
        <v>108454.76</v>
      </c>
      <c r="I66">
        <f t="shared" ref="I66:I129" si="5">IF(G66="USD",H66*0.9,IF(G66="PLN",H66*0.22,IF(G66="EUR",H66,"")))</f>
        <v>23860.047199999997</v>
      </c>
      <c r="J66">
        <v>80482.087986019513</v>
      </c>
      <c r="K66">
        <f t="shared" si="1"/>
        <v>17706.059356924292</v>
      </c>
      <c r="L66" s="9">
        <f t="shared" si="2"/>
        <v>0.3475639451456527</v>
      </c>
      <c r="M66" t="str">
        <f t="shared" si="3"/>
        <v>Complete Data</v>
      </c>
      <c r="N66" t="str">
        <f t="shared" si="4"/>
        <v>Non-compliant</v>
      </c>
    </row>
    <row r="67" spans="1:14">
      <c r="A67" t="s">
        <v>19</v>
      </c>
      <c r="B67" t="s">
        <v>11</v>
      </c>
      <c r="C67" t="s">
        <v>21</v>
      </c>
      <c r="D67" t="s">
        <v>13</v>
      </c>
      <c r="E67" t="s">
        <v>27</v>
      </c>
      <c r="F67" s="6">
        <v>45750</v>
      </c>
      <c r="G67" t="s">
        <v>16</v>
      </c>
      <c r="H67">
        <v>27562.13</v>
      </c>
      <c r="I67">
        <f t="shared" si="5"/>
        <v>27562.13</v>
      </c>
      <c r="J67">
        <v>23019.477522235618</v>
      </c>
      <c r="K67">
        <f t="shared" ref="K67:K130" si="6">IF(J67="","",IF(G67="EUR",J67,IF(G67="USD",J67*0.9,IF(G67="PLN",J67*0.22,""))))</f>
        <v>23019.477522235618</v>
      </c>
      <c r="L67" s="9">
        <f t="shared" ref="L67:L130" si="7">IF(K67="","",(I67-K67)/K67)</f>
        <v>0.19733951273987069</v>
      </c>
      <c r="M67" t="str">
        <f t="shared" ref="M67:M130" si="8">IF(I67="","Missing Amount, Margin not calculable",IF(K67="","Missing Cost Base, Margin not calculable","Complete Data"))</f>
        <v>Complete Data</v>
      </c>
      <c r="N67" t="str">
        <f t="shared" ref="N67:N130" si="9">IF(K67="","Unknown",IF(E67="Goods",IF(AND(L67&gt;=0.03,L67&lt;=0.08),"Compliant","Non-compliant"),IF(E67="Services",IF(AND(L67&gt;=0.05,L67&lt;=0.1),"Compliant","Non-compliant"),IF(E67="Royalties",IF(AND(L67&gt;=0.08,L67&lt;=0.15),"Compliant","Non-compliant"),"Unknown"))))</f>
        <v>Non-compliant</v>
      </c>
    </row>
    <row r="68" spans="1:14">
      <c r="A68" t="s">
        <v>11</v>
      </c>
      <c r="B68" t="s">
        <v>18</v>
      </c>
      <c r="C68" t="s">
        <v>13</v>
      </c>
      <c r="D68" t="s">
        <v>20</v>
      </c>
      <c r="E68" t="s">
        <v>22</v>
      </c>
      <c r="F68" s="6">
        <v>45753</v>
      </c>
      <c r="G68" t="s">
        <v>23</v>
      </c>
      <c r="H68">
        <v>167594.56</v>
      </c>
      <c r="I68">
        <f t="shared" si="5"/>
        <v>36870.803200000002</v>
      </c>
      <c r="J68">
        <v>126405.3699891414</v>
      </c>
      <c r="K68">
        <f t="shared" si="6"/>
        <v>27809.181397611108</v>
      </c>
      <c r="L68" s="9">
        <f t="shared" si="7"/>
        <v>0.32585000158139549</v>
      </c>
      <c r="M68" t="str">
        <f t="shared" si="8"/>
        <v>Complete Data</v>
      </c>
      <c r="N68" t="str">
        <f t="shared" si="9"/>
        <v>Non-compliant</v>
      </c>
    </row>
    <row r="69" spans="1:14">
      <c r="A69" t="s">
        <v>18</v>
      </c>
      <c r="B69" t="s">
        <v>19</v>
      </c>
      <c r="C69" t="s">
        <v>20</v>
      </c>
      <c r="D69" t="s">
        <v>21</v>
      </c>
      <c r="E69" t="s">
        <v>27</v>
      </c>
      <c r="F69" s="6">
        <v>45950</v>
      </c>
      <c r="G69" t="s">
        <v>23</v>
      </c>
      <c r="H69">
        <v>23962.37</v>
      </c>
      <c r="I69">
        <f t="shared" si="5"/>
        <v>5271.7213999999994</v>
      </c>
      <c r="J69">
        <v>20197.516098939981</v>
      </c>
      <c r="K69">
        <f t="shared" si="6"/>
        <v>4443.4535417667958</v>
      </c>
      <c r="L69" s="9">
        <f t="shared" si="7"/>
        <v>0.18640182696809962</v>
      </c>
      <c r="M69" t="str">
        <f t="shared" si="8"/>
        <v>Complete Data</v>
      </c>
      <c r="N69" t="str">
        <f t="shared" si="9"/>
        <v>Non-compliant</v>
      </c>
    </row>
    <row r="70" spans="1:14">
      <c r="A70" t="s">
        <v>11</v>
      </c>
      <c r="B70" t="s">
        <v>19</v>
      </c>
      <c r="C70" t="s">
        <v>13</v>
      </c>
      <c r="D70" t="s">
        <v>21</v>
      </c>
      <c r="E70" t="s">
        <v>22</v>
      </c>
      <c r="F70" s="6">
        <v>45658</v>
      </c>
      <c r="G70" t="s">
        <v>16</v>
      </c>
      <c r="H70">
        <v>177957.35</v>
      </c>
      <c r="I70">
        <f t="shared" si="5"/>
        <v>177957.35</v>
      </c>
      <c r="J70">
        <v>167849.91466271551</v>
      </c>
      <c r="K70">
        <f t="shared" si="6"/>
        <v>167849.91466271551</v>
      </c>
      <c r="L70" s="9">
        <f t="shared" si="7"/>
        <v>6.0217101436094184E-2</v>
      </c>
      <c r="M70" t="str">
        <f t="shared" si="8"/>
        <v>Complete Data</v>
      </c>
      <c r="N70" t="str">
        <f t="shared" si="9"/>
        <v>Compliant</v>
      </c>
    </row>
    <row r="71" spans="1:14">
      <c r="A71" t="s">
        <v>25</v>
      </c>
      <c r="B71" t="s">
        <v>18</v>
      </c>
      <c r="C71" t="s">
        <v>26</v>
      </c>
      <c r="D71" t="s">
        <v>20</v>
      </c>
      <c r="E71" t="s">
        <v>15</v>
      </c>
      <c r="F71" s="6">
        <v>45706</v>
      </c>
      <c r="G71" t="s">
        <v>16</v>
      </c>
      <c r="H71">
        <v>166829.99</v>
      </c>
      <c r="I71">
        <f t="shared" si="5"/>
        <v>166829.99</v>
      </c>
      <c r="J71">
        <v>102202.02649044451</v>
      </c>
      <c r="K71">
        <f t="shared" si="6"/>
        <v>102202.02649044451</v>
      </c>
      <c r="L71" s="9">
        <f t="shared" si="7"/>
        <v>0.63235501025606322</v>
      </c>
      <c r="M71" t="str">
        <f t="shared" si="8"/>
        <v>Complete Data</v>
      </c>
      <c r="N71" t="str">
        <f t="shared" si="9"/>
        <v>Non-compliant</v>
      </c>
    </row>
    <row r="72" spans="1:14">
      <c r="A72" t="s">
        <v>19</v>
      </c>
      <c r="B72" t="s">
        <v>25</v>
      </c>
      <c r="C72" t="s">
        <v>21</v>
      </c>
      <c r="D72" t="s">
        <v>26</v>
      </c>
      <c r="E72" t="s">
        <v>22</v>
      </c>
      <c r="F72" s="6">
        <v>45976</v>
      </c>
      <c r="G72" t="s">
        <v>23</v>
      </c>
      <c r="H72">
        <v>36291.19</v>
      </c>
      <c r="I72">
        <f t="shared" si="5"/>
        <v>7984.0618000000004</v>
      </c>
      <c r="J72">
        <v>33306.473991876519</v>
      </c>
      <c r="K72">
        <f t="shared" si="6"/>
        <v>7327.424278212834</v>
      </c>
      <c r="L72" s="9">
        <f t="shared" si="7"/>
        <v>8.9613689184014467E-2</v>
      </c>
      <c r="M72" t="str">
        <f t="shared" si="8"/>
        <v>Complete Data</v>
      </c>
      <c r="N72" t="str">
        <f t="shared" si="9"/>
        <v>Non-compliant</v>
      </c>
    </row>
    <row r="73" spans="1:14">
      <c r="A73" t="s">
        <v>25</v>
      </c>
      <c r="B73" t="s">
        <v>12</v>
      </c>
      <c r="C73" t="s">
        <v>26</v>
      </c>
      <c r="D73" t="s">
        <v>14</v>
      </c>
      <c r="E73" t="s">
        <v>27</v>
      </c>
      <c r="F73" s="6">
        <v>45944</v>
      </c>
      <c r="G73" t="s">
        <v>16</v>
      </c>
      <c r="H73">
        <v>176306.06</v>
      </c>
      <c r="I73">
        <f t="shared" si="5"/>
        <v>176306.06</v>
      </c>
      <c r="J73">
        <v>135074.03097220071</v>
      </c>
      <c r="K73">
        <f t="shared" si="6"/>
        <v>135074.03097220071</v>
      </c>
      <c r="L73" s="9">
        <f t="shared" si="7"/>
        <v>0.30525504222410571</v>
      </c>
      <c r="M73" t="str">
        <f t="shared" si="8"/>
        <v>Complete Data</v>
      </c>
      <c r="N73" t="str">
        <f t="shared" si="9"/>
        <v>Non-compliant</v>
      </c>
    </row>
    <row r="74" spans="1:14">
      <c r="A74" t="s">
        <v>19</v>
      </c>
      <c r="B74" t="s">
        <v>11</v>
      </c>
      <c r="C74" t="s">
        <v>21</v>
      </c>
      <c r="D74" t="s">
        <v>13</v>
      </c>
      <c r="E74" t="s">
        <v>15</v>
      </c>
      <c r="F74" s="6">
        <v>46010</v>
      </c>
      <c r="G74" t="s">
        <v>16</v>
      </c>
      <c r="H74">
        <v>67510.240000000005</v>
      </c>
      <c r="I74">
        <f t="shared" si="5"/>
        <v>67510.240000000005</v>
      </c>
      <c r="J74">
        <v>55842.945954177732</v>
      </c>
      <c r="K74">
        <f t="shared" si="6"/>
        <v>55842.945954177732</v>
      </c>
      <c r="L74" s="9">
        <f t="shared" si="7"/>
        <v>0.20893048972373238</v>
      </c>
      <c r="M74" t="str">
        <f t="shared" si="8"/>
        <v>Complete Data</v>
      </c>
      <c r="N74" t="str">
        <f t="shared" si="9"/>
        <v>Non-compliant</v>
      </c>
    </row>
    <row r="75" spans="1:14">
      <c r="A75" t="s">
        <v>11</v>
      </c>
      <c r="B75" t="s">
        <v>18</v>
      </c>
      <c r="C75" t="s">
        <v>13</v>
      </c>
      <c r="D75" t="s">
        <v>20</v>
      </c>
      <c r="E75" t="s">
        <v>15</v>
      </c>
      <c r="F75" s="6">
        <v>45913</v>
      </c>
      <c r="G75" t="s">
        <v>24</v>
      </c>
      <c r="H75">
        <v>137667.99</v>
      </c>
      <c r="I75">
        <f t="shared" si="5"/>
        <v>123901.19099999999</v>
      </c>
      <c r="J75">
        <v>105615.6158935339</v>
      </c>
      <c r="K75">
        <f t="shared" si="6"/>
        <v>95054.054304180521</v>
      </c>
      <c r="L75" s="9">
        <f t="shared" si="7"/>
        <v>0.30348139179320371</v>
      </c>
      <c r="M75" t="str">
        <f t="shared" si="8"/>
        <v>Complete Data</v>
      </c>
      <c r="N75" t="str">
        <f t="shared" si="9"/>
        <v>Non-compliant</v>
      </c>
    </row>
    <row r="76" spans="1:14">
      <c r="A76" t="s">
        <v>11</v>
      </c>
      <c r="B76" t="s">
        <v>25</v>
      </c>
      <c r="C76" t="s">
        <v>13</v>
      </c>
      <c r="D76" t="s">
        <v>26</v>
      </c>
      <c r="E76" t="s">
        <v>27</v>
      </c>
      <c r="F76" s="6">
        <v>45837</v>
      </c>
      <c r="G76" t="s">
        <v>23</v>
      </c>
      <c r="H76">
        <v>120455.73</v>
      </c>
      <c r="I76">
        <f t="shared" si="5"/>
        <v>26500.260599999998</v>
      </c>
      <c r="J76">
        <v>87219.23792292962</v>
      </c>
      <c r="K76">
        <f t="shared" si="6"/>
        <v>19188.232343044518</v>
      </c>
      <c r="L76" s="9">
        <f t="shared" si="7"/>
        <v>0.38106836139108952</v>
      </c>
      <c r="M76" t="str">
        <f t="shared" si="8"/>
        <v>Complete Data</v>
      </c>
      <c r="N76" t="str">
        <f t="shared" si="9"/>
        <v>Non-compliant</v>
      </c>
    </row>
    <row r="77" spans="1:14">
      <c r="A77" t="s">
        <v>25</v>
      </c>
      <c r="B77" t="s">
        <v>12</v>
      </c>
      <c r="C77" t="s">
        <v>26</v>
      </c>
      <c r="D77" t="s">
        <v>14</v>
      </c>
      <c r="E77" t="s">
        <v>15</v>
      </c>
      <c r="F77" s="6">
        <v>45815</v>
      </c>
      <c r="G77" t="s">
        <v>24</v>
      </c>
      <c r="H77">
        <v>82465.070000000007</v>
      </c>
      <c r="I77">
        <f t="shared" si="5"/>
        <v>74218.563000000009</v>
      </c>
      <c r="J77">
        <v>70300.839980124481</v>
      </c>
      <c r="K77">
        <f t="shared" si="6"/>
        <v>63270.755982112038</v>
      </c>
      <c r="L77" s="9">
        <f t="shared" si="7"/>
        <v>0.17303107648947871</v>
      </c>
      <c r="M77" t="str">
        <f t="shared" si="8"/>
        <v>Complete Data</v>
      </c>
      <c r="N77" t="str">
        <f t="shared" si="9"/>
        <v>Non-compliant</v>
      </c>
    </row>
    <row r="78" spans="1:14">
      <c r="A78" t="s">
        <v>18</v>
      </c>
      <c r="B78" t="s">
        <v>19</v>
      </c>
      <c r="C78" t="s">
        <v>20</v>
      </c>
      <c r="D78" t="s">
        <v>21</v>
      </c>
      <c r="E78" t="s">
        <v>15</v>
      </c>
      <c r="F78" s="6">
        <v>45701</v>
      </c>
      <c r="G78" t="s">
        <v>23</v>
      </c>
      <c r="H78">
        <v>58084.73</v>
      </c>
      <c r="I78">
        <f t="shared" si="5"/>
        <v>12778.640600000001</v>
      </c>
      <c r="J78">
        <v>35291.762284640623</v>
      </c>
      <c r="K78">
        <f t="shared" si="6"/>
        <v>7764.1877026209368</v>
      </c>
      <c r="L78" s="9">
        <f t="shared" si="7"/>
        <v>0.64584385249809817</v>
      </c>
      <c r="M78" t="str">
        <f t="shared" si="8"/>
        <v>Complete Data</v>
      </c>
      <c r="N78" t="str">
        <f t="shared" si="9"/>
        <v>Non-compliant</v>
      </c>
    </row>
    <row r="79" spans="1:14">
      <c r="A79" t="s">
        <v>12</v>
      </c>
      <c r="B79" t="s">
        <v>11</v>
      </c>
      <c r="C79" t="s">
        <v>14</v>
      </c>
      <c r="D79" t="s">
        <v>13</v>
      </c>
      <c r="E79" t="s">
        <v>27</v>
      </c>
      <c r="F79" s="6">
        <v>45897</v>
      </c>
      <c r="G79" t="s">
        <v>24</v>
      </c>
      <c r="H79">
        <v>25865.81</v>
      </c>
      <c r="I79">
        <f t="shared" si="5"/>
        <v>23279.229000000003</v>
      </c>
      <c r="J79">
        <v>23197.819806318988</v>
      </c>
      <c r="K79">
        <f t="shared" si="6"/>
        <v>20878.03782568709</v>
      </c>
      <c r="L79" s="9">
        <f t="shared" si="7"/>
        <v>0.11501038528432164</v>
      </c>
      <c r="M79" t="str">
        <f t="shared" si="8"/>
        <v>Complete Data</v>
      </c>
      <c r="N79" t="str">
        <f t="shared" si="9"/>
        <v>Compliant</v>
      </c>
    </row>
    <row r="80" spans="1:14">
      <c r="A80" t="s">
        <v>11</v>
      </c>
      <c r="B80" t="s">
        <v>25</v>
      </c>
      <c r="C80" t="s">
        <v>13</v>
      </c>
      <c r="D80" t="s">
        <v>26</v>
      </c>
      <c r="E80" t="s">
        <v>15</v>
      </c>
      <c r="F80" s="6">
        <v>45775</v>
      </c>
      <c r="G80" t="s">
        <v>23</v>
      </c>
      <c r="H80">
        <v>33822.69</v>
      </c>
      <c r="I80">
        <f t="shared" si="5"/>
        <v>7440.9918000000007</v>
      </c>
      <c r="J80">
        <v>30498.66057902473</v>
      </c>
      <c r="K80">
        <f t="shared" si="6"/>
        <v>6709.7053273854408</v>
      </c>
      <c r="L80" s="9">
        <f t="shared" si="7"/>
        <v>0.10898935749530435</v>
      </c>
      <c r="M80" t="str">
        <f t="shared" si="8"/>
        <v>Complete Data</v>
      </c>
      <c r="N80" t="str">
        <f t="shared" si="9"/>
        <v>Non-compliant</v>
      </c>
    </row>
    <row r="81" spans="1:14">
      <c r="A81" t="s">
        <v>12</v>
      </c>
      <c r="B81" t="s">
        <v>18</v>
      </c>
      <c r="C81" t="s">
        <v>14</v>
      </c>
      <c r="D81" t="s">
        <v>20</v>
      </c>
      <c r="E81" t="s">
        <v>15</v>
      </c>
      <c r="F81" s="6">
        <v>45997</v>
      </c>
      <c r="G81" t="s">
        <v>16</v>
      </c>
      <c r="H81">
        <v>179833.34</v>
      </c>
      <c r="I81">
        <f t="shared" si="5"/>
        <v>179833.34</v>
      </c>
      <c r="J81">
        <v>138096.51329941349</v>
      </c>
      <c r="K81">
        <f t="shared" si="6"/>
        <v>138096.51329941349</v>
      </c>
      <c r="L81" s="9">
        <f t="shared" si="7"/>
        <v>0.30222940249110375</v>
      </c>
      <c r="M81" t="str">
        <f t="shared" si="8"/>
        <v>Complete Data</v>
      </c>
      <c r="N81" t="str">
        <f t="shared" si="9"/>
        <v>Non-compliant</v>
      </c>
    </row>
    <row r="82" spans="1:14">
      <c r="A82" t="s">
        <v>12</v>
      </c>
      <c r="B82" t="s">
        <v>11</v>
      </c>
      <c r="C82" t="s">
        <v>14</v>
      </c>
      <c r="D82" t="s">
        <v>13</v>
      </c>
      <c r="E82" t="s">
        <v>15</v>
      </c>
      <c r="F82" s="6">
        <v>45895</v>
      </c>
      <c r="G82" t="s">
        <v>23</v>
      </c>
      <c r="H82">
        <v>63954.85</v>
      </c>
      <c r="I82">
        <f t="shared" si="5"/>
        <v>14070.066999999999</v>
      </c>
      <c r="K82" t="str">
        <f t="shared" si="6"/>
        <v/>
      </c>
      <c r="L82" s="9" t="str">
        <f t="shared" si="7"/>
        <v/>
      </c>
      <c r="M82" t="str">
        <f t="shared" si="8"/>
        <v>Missing Cost Base, Margin not calculable</v>
      </c>
      <c r="N82" t="str">
        <f t="shared" si="9"/>
        <v>Unknown</v>
      </c>
    </row>
    <row r="83" spans="1:14">
      <c r="A83" t="s">
        <v>25</v>
      </c>
      <c r="B83" t="s">
        <v>19</v>
      </c>
      <c r="C83" t="s">
        <v>26</v>
      </c>
      <c r="D83" t="s">
        <v>21</v>
      </c>
      <c r="E83" t="s">
        <v>22</v>
      </c>
      <c r="F83" s="6">
        <v>45708</v>
      </c>
      <c r="G83" t="s">
        <v>24</v>
      </c>
      <c r="H83">
        <v>170030.63</v>
      </c>
      <c r="I83">
        <f t="shared" si="5"/>
        <v>153027.56700000001</v>
      </c>
      <c r="J83">
        <v>115680.6833994444</v>
      </c>
      <c r="K83">
        <f t="shared" si="6"/>
        <v>104112.61505949996</v>
      </c>
      <c r="L83" s="9">
        <f t="shared" si="7"/>
        <v>0.46982732988260201</v>
      </c>
      <c r="M83" t="str">
        <f t="shared" si="8"/>
        <v>Complete Data</v>
      </c>
      <c r="N83" t="str">
        <f t="shared" si="9"/>
        <v>Non-compliant</v>
      </c>
    </row>
    <row r="84" spans="1:14">
      <c r="A84" t="s">
        <v>25</v>
      </c>
      <c r="B84" t="s">
        <v>12</v>
      </c>
      <c r="C84" t="s">
        <v>26</v>
      </c>
      <c r="D84" t="s">
        <v>14</v>
      </c>
      <c r="E84" t="s">
        <v>22</v>
      </c>
      <c r="F84" s="6">
        <v>45680</v>
      </c>
      <c r="G84" t="s">
        <v>23</v>
      </c>
      <c r="H84">
        <v>32375.45</v>
      </c>
      <c r="I84">
        <f t="shared" si="5"/>
        <v>7122.5990000000002</v>
      </c>
      <c r="J84">
        <v>22976.807083074978</v>
      </c>
      <c r="K84">
        <f t="shared" si="6"/>
        <v>5054.8975582764951</v>
      </c>
      <c r="L84" s="9">
        <f t="shared" si="7"/>
        <v>0.40904912866889098</v>
      </c>
      <c r="M84" t="str">
        <f t="shared" si="8"/>
        <v>Complete Data</v>
      </c>
      <c r="N84" t="str">
        <f t="shared" si="9"/>
        <v>Non-compliant</v>
      </c>
    </row>
    <row r="85" spans="1:14">
      <c r="A85" t="s">
        <v>18</v>
      </c>
      <c r="B85" t="s">
        <v>19</v>
      </c>
      <c r="C85" t="s">
        <v>20</v>
      </c>
      <c r="D85" t="s">
        <v>21</v>
      </c>
      <c r="E85" t="s">
        <v>15</v>
      </c>
      <c r="F85" s="6">
        <v>45688</v>
      </c>
      <c r="G85" t="s">
        <v>16</v>
      </c>
      <c r="H85">
        <v>166683.65</v>
      </c>
      <c r="I85">
        <f t="shared" si="5"/>
        <v>166683.65</v>
      </c>
      <c r="K85" t="str">
        <f t="shared" si="6"/>
        <v/>
      </c>
      <c r="L85" s="9" t="str">
        <f t="shared" si="7"/>
        <v/>
      </c>
      <c r="M85" t="str">
        <f t="shared" si="8"/>
        <v>Missing Cost Base, Margin not calculable</v>
      </c>
      <c r="N85" t="str">
        <f t="shared" si="9"/>
        <v>Unknown</v>
      </c>
    </row>
    <row r="86" spans="1:14">
      <c r="A86" t="s">
        <v>12</v>
      </c>
      <c r="B86" t="s">
        <v>19</v>
      </c>
      <c r="C86" t="s">
        <v>14</v>
      </c>
      <c r="D86" t="s">
        <v>21</v>
      </c>
      <c r="E86" t="s">
        <v>22</v>
      </c>
      <c r="F86" s="6">
        <v>45767</v>
      </c>
      <c r="G86" t="s">
        <v>23</v>
      </c>
      <c r="H86">
        <v>108967.23</v>
      </c>
      <c r="I86">
        <f t="shared" si="5"/>
        <v>23972.7906</v>
      </c>
      <c r="J86">
        <v>97211.734643740943</v>
      </c>
      <c r="K86">
        <f t="shared" si="6"/>
        <v>21386.581621623009</v>
      </c>
      <c r="L86" s="9">
        <f t="shared" si="7"/>
        <v>0.12092671115622294</v>
      </c>
      <c r="M86" t="str">
        <f t="shared" si="8"/>
        <v>Complete Data</v>
      </c>
      <c r="N86" t="str">
        <f t="shared" si="9"/>
        <v>Non-compliant</v>
      </c>
    </row>
    <row r="87" spans="1:14">
      <c r="A87" t="s">
        <v>12</v>
      </c>
      <c r="B87" t="s">
        <v>18</v>
      </c>
      <c r="C87" t="s">
        <v>14</v>
      </c>
      <c r="D87" t="s">
        <v>20</v>
      </c>
      <c r="E87" t="s">
        <v>27</v>
      </c>
      <c r="F87" s="6">
        <v>45762</v>
      </c>
      <c r="G87" t="s">
        <v>16</v>
      </c>
      <c r="H87">
        <v>150892.29999999999</v>
      </c>
      <c r="I87">
        <f t="shared" si="5"/>
        <v>150892.29999999999</v>
      </c>
      <c r="K87" t="str">
        <f t="shared" si="6"/>
        <v/>
      </c>
      <c r="L87" s="9" t="str">
        <f t="shared" si="7"/>
        <v/>
      </c>
      <c r="M87" t="str">
        <f t="shared" si="8"/>
        <v>Missing Cost Base, Margin not calculable</v>
      </c>
      <c r="N87" t="str">
        <f t="shared" si="9"/>
        <v>Unknown</v>
      </c>
    </row>
    <row r="88" spans="1:14">
      <c r="A88" t="s">
        <v>18</v>
      </c>
      <c r="B88" t="s">
        <v>25</v>
      </c>
      <c r="C88" t="s">
        <v>20</v>
      </c>
      <c r="D88" t="s">
        <v>26</v>
      </c>
      <c r="E88" t="s">
        <v>27</v>
      </c>
      <c r="F88" s="6">
        <v>45937</v>
      </c>
      <c r="G88" t="s">
        <v>23</v>
      </c>
      <c r="H88">
        <v>30355.57</v>
      </c>
      <c r="I88">
        <f t="shared" si="5"/>
        <v>6678.2254000000003</v>
      </c>
      <c r="J88">
        <v>21034.62907239392</v>
      </c>
      <c r="K88">
        <f t="shared" si="6"/>
        <v>4627.6183959266627</v>
      </c>
      <c r="L88" s="9">
        <f t="shared" si="7"/>
        <v>0.44312361751313145</v>
      </c>
      <c r="M88" t="str">
        <f t="shared" si="8"/>
        <v>Complete Data</v>
      </c>
      <c r="N88" t="str">
        <f t="shared" si="9"/>
        <v>Non-compliant</v>
      </c>
    </row>
    <row r="89" spans="1:14">
      <c r="A89" t="s">
        <v>18</v>
      </c>
      <c r="B89" t="s">
        <v>25</v>
      </c>
      <c r="C89" t="s">
        <v>20</v>
      </c>
      <c r="D89" t="s">
        <v>26</v>
      </c>
      <c r="E89" t="s">
        <v>15</v>
      </c>
      <c r="F89" s="6">
        <v>45911</v>
      </c>
      <c r="G89" t="s">
        <v>24</v>
      </c>
      <c r="H89">
        <v>55890.9</v>
      </c>
      <c r="I89">
        <f t="shared" si="5"/>
        <v>50301.810000000005</v>
      </c>
      <c r="J89">
        <v>43179.680552897509</v>
      </c>
      <c r="K89">
        <f t="shared" si="6"/>
        <v>38861.712497607761</v>
      </c>
      <c r="L89" s="9">
        <f t="shared" si="7"/>
        <v>0.29437965460468246</v>
      </c>
      <c r="M89" t="str">
        <f t="shared" si="8"/>
        <v>Complete Data</v>
      </c>
      <c r="N89" t="str">
        <f t="shared" si="9"/>
        <v>Non-compliant</v>
      </c>
    </row>
    <row r="90" spans="1:14">
      <c r="A90" t="s">
        <v>25</v>
      </c>
      <c r="B90" t="s">
        <v>18</v>
      </c>
      <c r="C90" t="s">
        <v>26</v>
      </c>
      <c r="D90" t="s">
        <v>20</v>
      </c>
      <c r="E90" t="s">
        <v>27</v>
      </c>
      <c r="F90" s="6">
        <v>45990</v>
      </c>
      <c r="G90" t="s">
        <v>24</v>
      </c>
      <c r="H90">
        <v>189195.98</v>
      </c>
      <c r="I90">
        <f t="shared" si="5"/>
        <v>170276.38200000001</v>
      </c>
      <c r="K90" t="str">
        <f t="shared" si="6"/>
        <v/>
      </c>
      <c r="L90" s="9" t="str">
        <f t="shared" si="7"/>
        <v/>
      </c>
      <c r="M90" t="str">
        <f t="shared" si="8"/>
        <v>Missing Cost Base, Margin not calculable</v>
      </c>
      <c r="N90" t="str">
        <f t="shared" si="9"/>
        <v>Unknown</v>
      </c>
    </row>
    <row r="91" spans="1:14">
      <c r="A91" t="s">
        <v>12</v>
      </c>
      <c r="B91" t="s">
        <v>11</v>
      </c>
      <c r="C91" t="s">
        <v>14</v>
      </c>
      <c r="D91" t="s">
        <v>13</v>
      </c>
      <c r="E91" t="s">
        <v>27</v>
      </c>
      <c r="F91" s="6">
        <v>45668</v>
      </c>
      <c r="G91" t="s">
        <v>16</v>
      </c>
      <c r="H91">
        <v>109992.82</v>
      </c>
      <c r="I91">
        <f t="shared" si="5"/>
        <v>109992.82</v>
      </c>
      <c r="J91">
        <v>90550.793753213104</v>
      </c>
      <c r="K91">
        <f t="shared" si="6"/>
        <v>90550.793753213104</v>
      </c>
      <c r="L91" s="9">
        <f t="shared" si="7"/>
        <v>0.21470851265836666</v>
      </c>
      <c r="M91" t="str">
        <f t="shared" si="8"/>
        <v>Complete Data</v>
      </c>
      <c r="N91" t="str">
        <f t="shared" si="9"/>
        <v>Non-compliant</v>
      </c>
    </row>
    <row r="92" spans="1:14">
      <c r="A92" t="s">
        <v>25</v>
      </c>
      <c r="B92" t="s">
        <v>18</v>
      </c>
      <c r="C92" t="s">
        <v>26</v>
      </c>
      <c r="D92" t="s">
        <v>20</v>
      </c>
      <c r="E92" t="s">
        <v>22</v>
      </c>
      <c r="F92" s="6">
        <v>45996</v>
      </c>
      <c r="G92" t="s">
        <v>16</v>
      </c>
      <c r="H92">
        <v>73035.179999999993</v>
      </c>
      <c r="I92">
        <f t="shared" si="5"/>
        <v>73035.179999999993</v>
      </c>
      <c r="J92">
        <v>68484.651280141785</v>
      </c>
      <c r="K92">
        <f t="shared" si="6"/>
        <v>68484.651280141785</v>
      </c>
      <c r="L92" s="9">
        <f t="shared" si="7"/>
        <v>6.644596467672613E-2</v>
      </c>
      <c r="M92" t="str">
        <f t="shared" si="8"/>
        <v>Complete Data</v>
      </c>
      <c r="N92" t="str">
        <f t="shared" si="9"/>
        <v>Compliant</v>
      </c>
    </row>
    <row r="93" spans="1:14">
      <c r="A93" t="s">
        <v>12</v>
      </c>
      <c r="B93" t="s">
        <v>18</v>
      </c>
      <c r="C93" t="s">
        <v>14</v>
      </c>
      <c r="D93" t="s">
        <v>20</v>
      </c>
      <c r="E93" t="s">
        <v>27</v>
      </c>
      <c r="F93" s="6">
        <v>45852</v>
      </c>
      <c r="G93" t="s">
        <v>16</v>
      </c>
      <c r="H93">
        <v>158455.54</v>
      </c>
      <c r="I93">
        <f t="shared" si="5"/>
        <v>158455.54</v>
      </c>
      <c r="J93">
        <v>116137.0012145481</v>
      </c>
      <c r="K93">
        <f t="shared" si="6"/>
        <v>116137.0012145481</v>
      </c>
      <c r="L93" s="9">
        <f t="shared" si="7"/>
        <v>0.36438463489576312</v>
      </c>
      <c r="M93" t="str">
        <f t="shared" si="8"/>
        <v>Complete Data</v>
      </c>
      <c r="N93" t="str">
        <f t="shared" si="9"/>
        <v>Non-compliant</v>
      </c>
    </row>
    <row r="94" spans="1:14">
      <c r="A94" t="s">
        <v>11</v>
      </c>
      <c r="B94" t="s">
        <v>12</v>
      </c>
      <c r="C94" t="s">
        <v>13</v>
      </c>
      <c r="D94" t="s">
        <v>14</v>
      </c>
      <c r="E94" t="s">
        <v>22</v>
      </c>
      <c r="F94" s="6">
        <v>45839</v>
      </c>
      <c r="G94" t="s">
        <v>23</v>
      </c>
      <c r="H94">
        <v>34821.32</v>
      </c>
      <c r="I94">
        <f t="shared" si="5"/>
        <v>7660.6904000000004</v>
      </c>
      <c r="J94">
        <v>26628.708959035059</v>
      </c>
      <c r="K94">
        <f t="shared" si="6"/>
        <v>5858.3159709877127</v>
      </c>
      <c r="L94" s="9">
        <f t="shared" si="7"/>
        <v>0.30766084279820899</v>
      </c>
      <c r="M94" t="str">
        <f t="shared" si="8"/>
        <v>Complete Data</v>
      </c>
      <c r="N94" t="str">
        <f t="shared" si="9"/>
        <v>Non-compliant</v>
      </c>
    </row>
    <row r="95" spans="1:14">
      <c r="A95" t="s">
        <v>25</v>
      </c>
      <c r="B95" t="s">
        <v>19</v>
      </c>
      <c r="C95" t="s">
        <v>26</v>
      </c>
      <c r="D95" t="s">
        <v>21</v>
      </c>
      <c r="E95" t="s">
        <v>15</v>
      </c>
      <c r="F95" s="6">
        <v>45799</v>
      </c>
      <c r="G95" t="s">
        <v>23</v>
      </c>
      <c r="H95">
        <v>167180.04999999999</v>
      </c>
      <c r="I95">
        <f t="shared" si="5"/>
        <v>36779.610999999997</v>
      </c>
      <c r="J95">
        <v>143769.44150127051</v>
      </c>
      <c r="K95">
        <f t="shared" si="6"/>
        <v>31629.277130279512</v>
      </c>
      <c r="L95" s="9">
        <f t="shared" si="7"/>
        <v>0.16283438437453063</v>
      </c>
      <c r="M95" t="str">
        <f t="shared" si="8"/>
        <v>Complete Data</v>
      </c>
      <c r="N95" t="str">
        <f t="shared" si="9"/>
        <v>Non-compliant</v>
      </c>
    </row>
    <row r="96" spans="1:14">
      <c r="A96" t="s">
        <v>25</v>
      </c>
      <c r="B96" t="s">
        <v>11</v>
      </c>
      <c r="C96" t="s">
        <v>26</v>
      </c>
      <c r="D96" t="s">
        <v>13</v>
      </c>
      <c r="E96" t="s">
        <v>27</v>
      </c>
      <c r="F96" s="6">
        <v>46015</v>
      </c>
      <c r="G96" t="s">
        <v>23</v>
      </c>
      <c r="H96">
        <v>104108.27</v>
      </c>
      <c r="I96">
        <f t="shared" si="5"/>
        <v>22903.8194</v>
      </c>
      <c r="J96">
        <v>68742.422423186727</v>
      </c>
      <c r="K96">
        <f t="shared" si="6"/>
        <v>15123.332933101079</v>
      </c>
      <c r="L96" s="9">
        <f t="shared" si="7"/>
        <v>0.51446903280621703</v>
      </c>
      <c r="M96" t="str">
        <f t="shared" si="8"/>
        <v>Complete Data</v>
      </c>
      <c r="N96" t="str">
        <f t="shared" si="9"/>
        <v>Non-compliant</v>
      </c>
    </row>
    <row r="97" spans="1:14">
      <c r="A97" t="s">
        <v>11</v>
      </c>
      <c r="B97" t="s">
        <v>19</v>
      </c>
      <c r="C97" t="s">
        <v>13</v>
      </c>
      <c r="D97" t="s">
        <v>21</v>
      </c>
      <c r="E97" t="s">
        <v>15</v>
      </c>
      <c r="F97" s="6">
        <v>45892</v>
      </c>
      <c r="G97" t="s">
        <v>23</v>
      </c>
      <c r="H97">
        <v>24916.37</v>
      </c>
      <c r="I97">
        <f t="shared" si="5"/>
        <v>5481.6013999999996</v>
      </c>
      <c r="J97">
        <v>17376.965302785458</v>
      </c>
      <c r="K97">
        <f t="shared" si="6"/>
        <v>3822.9323666128007</v>
      </c>
      <c r="L97" s="9">
        <f t="shared" si="7"/>
        <v>0.43387349665744018</v>
      </c>
      <c r="M97" t="str">
        <f t="shared" si="8"/>
        <v>Complete Data</v>
      </c>
      <c r="N97" t="str">
        <f t="shared" si="9"/>
        <v>Non-compliant</v>
      </c>
    </row>
    <row r="98" spans="1:14">
      <c r="A98" t="s">
        <v>12</v>
      </c>
      <c r="B98" t="s">
        <v>11</v>
      </c>
      <c r="C98" t="s">
        <v>14</v>
      </c>
      <c r="D98" t="s">
        <v>13</v>
      </c>
      <c r="E98" t="s">
        <v>27</v>
      </c>
      <c r="F98" s="6">
        <v>45741</v>
      </c>
      <c r="G98" t="s">
        <v>24</v>
      </c>
      <c r="H98">
        <v>114400.89</v>
      </c>
      <c r="I98">
        <f t="shared" si="5"/>
        <v>102960.80100000001</v>
      </c>
      <c r="J98">
        <v>100957.2774458443</v>
      </c>
      <c r="K98">
        <f t="shared" si="6"/>
        <v>90861.549701259879</v>
      </c>
      <c r="L98" s="9">
        <f t="shared" si="7"/>
        <v>0.13316140147863184</v>
      </c>
      <c r="M98" t="str">
        <f t="shared" si="8"/>
        <v>Complete Data</v>
      </c>
      <c r="N98" t="str">
        <f t="shared" si="9"/>
        <v>Compliant</v>
      </c>
    </row>
    <row r="99" spans="1:14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s="6">
        <v>45767</v>
      </c>
      <c r="G99" t="s">
        <v>23</v>
      </c>
      <c r="H99">
        <v>113466.85</v>
      </c>
      <c r="I99">
        <f t="shared" si="5"/>
        <v>24962.707000000002</v>
      </c>
      <c r="K99" t="str">
        <f t="shared" si="6"/>
        <v/>
      </c>
      <c r="L99" s="9" t="str">
        <f t="shared" si="7"/>
        <v/>
      </c>
      <c r="M99" t="str">
        <f t="shared" si="8"/>
        <v>Missing Cost Base, Margin not calculable</v>
      </c>
      <c r="N99" t="str">
        <f t="shared" si="9"/>
        <v>Unknown</v>
      </c>
    </row>
    <row r="100" spans="1:14">
      <c r="A100" t="s">
        <v>12</v>
      </c>
      <c r="B100" t="s">
        <v>11</v>
      </c>
      <c r="C100" t="s">
        <v>14</v>
      </c>
      <c r="D100" t="s">
        <v>13</v>
      </c>
      <c r="E100" t="s">
        <v>15</v>
      </c>
      <c r="F100" s="6">
        <v>45771</v>
      </c>
      <c r="G100" t="s">
        <v>16</v>
      </c>
      <c r="H100">
        <v>125184.14</v>
      </c>
      <c r="I100">
        <f t="shared" si="5"/>
        <v>125184.14</v>
      </c>
      <c r="K100" t="str">
        <f t="shared" si="6"/>
        <v/>
      </c>
      <c r="L100" s="9" t="str">
        <f t="shared" si="7"/>
        <v/>
      </c>
      <c r="M100" t="str">
        <f t="shared" si="8"/>
        <v>Missing Cost Base, Margin not calculable</v>
      </c>
      <c r="N100" t="str">
        <f t="shared" si="9"/>
        <v>Unknown</v>
      </c>
    </row>
    <row r="101" spans="1:14">
      <c r="A101" t="s">
        <v>19</v>
      </c>
      <c r="B101" t="s">
        <v>11</v>
      </c>
      <c r="C101" t="s">
        <v>21</v>
      </c>
      <c r="D101" t="s">
        <v>13</v>
      </c>
      <c r="E101" t="s">
        <v>15</v>
      </c>
      <c r="F101" s="6">
        <v>45711</v>
      </c>
      <c r="G101" t="s">
        <v>24</v>
      </c>
      <c r="H101">
        <v>19423.95</v>
      </c>
      <c r="I101">
        <f t="shared" si="5"/>
        <v>17481.555</v>
      </c>
      <c r="J101">
        <v>14177.480217412391</v>
      </c>
      <c r="K101">
        <f t="shared" si="6"/>
        <v>12759.732195671151</v>
      </c>
      <c r="L101" s="9">
        <f t="shared" si="7"/>
        <v>0.37005657579010692</v>
      </c>
      <c r="M101" t="str">
        <f t="shared" si="8"/>
        <v>Complete Data</v>
      </c>
      <c r="N101" t="str">
        <f t="shared" si="9"/>
        <v>Non-compliant</v>
      </c>
    </row>
    <row r="102" spans="1:14">
      <c r="A102" t="s">
        <v>25</v>
      </c>
      <c r="B102" t="s">
        <v>12</v>
      </c>
      <c r="C102" t="s">
        <v>26</v>
      </c>
      <c r="D102" t="s">
        <v>14</v>
      </c>
      <c r="E102" t="s">
        <v>27</v>
      </c>
      <c r="F102" s="6">
        <v>45824</v>
      </c>
      <c r="G102" t="s">
        <v>16</v>
      </c>
      <c r="H102">
        <v>125891.37</v>
      </c>
      <c r="I102">
        <f t="shared" si="5"/>
        <v>125891.37</v>
      </c>
      <c r="K102" t="str">
        <f t="shared" si="6"/>
        <v/>
      </c>
      <c r="L102" s="9" t="str">
        <f t="shared" si="7"/>
        <v/>
      </c>
      <c r="M102" t="str">
        <f t="shared" si="8"/>
        <v>Missing Cost Base, Margin not calculable</v>
      </c>
      <c r="N102" t="str">
        <f t="shared" si="9"/>
        <v>Unknown</v>
      </c>
    </row>
    <row r="103" spans="1:14">
      <c r="A103" t="s">
        <v>18</v>
      </c>
      <c r="B103" t="s">
        <v>25</v>
      </c>
      <c r="C103" t="s">
        <v>20</v>
      </c>
      <c r="D103" t="s">
        <v>26</v>
      </c>
      <c r="E103" t="s">
        <v>15</v>
      </c>
      <c r="F103" s="6">
        <v>45864</v>
      </c>
      <c r="G103" t="s">
        <v>24</v>
      </c>
      <c r="H103">
        <v>197780.15</v>
      </c>
      <c r="I103">
        <f t="shared" si="5"/>
        <v>178002.13500000001</v>
      </c>
      <c r="J103">
        <v>170262.4144406984</v>
      </c>
      <c r="K103">
        <f t="shared" si="6"/>
        <v>153236.17299662856</v>
      </c>
      <c r="L103" s="9">
        <f t="shared" si="7"/>
        <v>0.16161955443716503</v>
      </c>
      <c r="M103" t="str">
        <f t="shared" si="8"/>
        <v>Complete Data</v>
      </c>
      <c r="N103" t="str">
        <f t="shared" si="9"/>
        <v>Non-compliant</v>
      </c>
    </row>
    <row r="104" spans="1:14">
      <c r="A104" t="s">
        <v>18</v>
      </c>
      <c r="B104" t="s">
        <v>25</v>
      </c>
      <c r="C104" t="s">
        <v>20</v>
      </c>
      <c r="D104" t="s">
        <v>26</v>
      </c>
      <c r="E104" t="s">
        <v>22</v>
      </c>
      <c r="F104" s="6">
        <v>45836</v>
      </c>
      <c r="G104" t="s">
        <v>16</v>
      </c>
      <c r="H104">
        <v>77166.42</v>
      </c>
      <c r="I104">
        <f t="shared" si="5"/>
        <v>77166.42</v>
      </c>
      <c r="J104">
        <v>48096.885722922823</v>
      </c>
      <c r="K104">
        <f t="shared" si="6"/>
        <v>48096.885722922823</v>
      </c>
      <c r="L104" s="9">
        <f t="shared" si="7"/>
        <v>0.60439535408885581</v>
      </c>
      <c r="M104" t="str">
        <f t="shared" si="8"/>
        <v>Complete Data</v>
      </c>
      <c r="N104" t="str">
        <f t="shared" si="9"/>
        <v>Non-compliant</v>
      </c>
    </row>
    <row r="105" spans="1:14">
      <c r="A105" t="s">
        <v>25</v>
      </c>
      <c r="B105" t="s">
        <v>18</v>
      </c>
      <c r="C105" t="s">
        <v>26</v>
      </c>
      <c r="D105" t="s">
        <v>20</v>
      </c>
      <c r="E105" t="s">
        <v>27</v>
      </c>
      <c r="F105" s="6">
        <v>45781</v>
      </c>
      <c r="G105" t="s">
        <v>16</v>
      </c>
      <c r="H105">
        <v>129694.87</v>
      </c>
      <c r="I105">
        <f t="shared" si="5"/>
        <v>129694.87</v>
      </c>
      <c r="J105">
        <v>80811.107278462936</v>
      </c>
      <c r="K105">
        <f t="shared" si="6"/>
        <v>80811.107278462936</v>
      </c>
      <c r="L105" s="9">
        <f t="shared" si="7"/>
        <v>0.60491390809794199</v>
      </c>
      <c r="M105" t="str">
        <f t="shared" si="8"/>
        <v>Complete Data</v>
      </c>
      <c r="N105" t="str">
        <f t="shared" si="9"/>
        <v>Non-compliant</v>
      </c>
    </row>
    <row r="106" spans="1:14">
      <c r="A106" t="s">
        <v>25</v>
      </c>
      <c r="B106" t="s">
        <v>12</v>
      </c>
      <c r="C106" t="s">
        <v>26</v>
      </c>
      <c r="D106" t="s">
        <v>14</v>
      </c>
      <c r="E106" t="s">
        <v>27</v>
      </c>
      <c r="F106" s="6">
        <v>45672</v>
      </c>
      <c r="G106" t="s">
        <v>23</v>
      </c>
      <c r="H106">
        <v>186734.55</v>
      </c>
      <c r="I106">
        <f t="shared" si="5"/>
        <v>41081.600999999995</v>
      </c>
      <c r="J106">
        <v>174065.67745519019</v>
      </c>
      <c r="K106">
        <f t="shared" si="6"/>
        <v>38294.449040141844</v>
      </c>
      <c r="L106" s="9">
        <f t="shared" si="7"/>
        <v>7.278214022446286E-2</v>
      </c>
      <c r="M106" t="str">
        <f t="shared" si="8"/>
        <v>Complete Data</v>
      </c>
      <c r="N106" t="str">
        <f t="shared" si="9"/>
        <v>Non-compliant</v>
      </c>
    </row>
    <row r="107" spans="1:14">
      <c r="A107" t="s">
        <v>18</v>
      </c>
      <c r="B107" t="s">
        <v>19</v>
      </c>
      <c r="C107" t="s">
        <v>20</v>
      </c>
      <c r="D107" t="s">
        <v>21</v>
      </c>
      <c r="E107" t="s">
        <v>15</v>
      </c>
      <c r="F107" s="6">
        <v>45990</v>
      </c>
      <c r="G107" t="s">
        <v>23</v>
      </c>
      <c r="H107">
        <v>81051.5</v>
      </c>
      <c r="I107">
        <f t="shared" si="5"/>
        <v>17831.330000000002</v>
      </c>
      <c r="J107">
        <v>74904.837867344337</v>
      </c>
      <c r="K107">
        <f t="shared" si="6"/>
        <v>16479.064330815756</v>
      </c>
      <c r="L107" s="9">
        <f t="shared" si="7"/>
        <v>8.2059614674573289E-2</v>
      </c>
      <c r="M107" t="str">
        <f t="shared" si="8"/>
        <v>Complete Data</v>
      </c>
      <c r="N107" t="str">
        <f t="shared" si="9"/>
        <v>Compliant</v>
      </c>
    </row>
    <row r="108" spans="1:14">
      <c r="A108" t="s">
        <v>25</v>
      </c>
      <c r="B108" t="s">
        <v>11</v>
      </c>
      <c r="C108" t="s">
        <v>26</v>
      </c>
      <c r="D108" t="s">
        <v>13</v>
      </c>
      <c r="E108" t="s">
        <v>27</v>
      </c>
      <c r="F108" s="6">
        <v>45911</v>
      </c>
      <c r="G108" t="s">
        <v>16</v>
      </c>
      <c r="H108">
        <v>38921.360000000001</v>
      </c>
      <c r="I108">
        <f t="shared" si="5"/>
        <v>38921.360000000001</v>
      </c>
      <c r="J108">
        <v>23646.03714325243</v>
      </c>
      <c r="K108">
        <f t="shared" si="6"/>
        <v>23646.03714325243</v>
      </c>
      <c r="L108" s="9">
        <f t="shared" si="7"/>
        <v>0.64599927523612544</v>
      </c>
      <c r="M108" t="str">
        <f t="shared" si="8"/>
        <v>Complete Data</v>
      </c>
      <c r="N108" t="str">
        <f t="shared" si="9"/>
        <v>Non-compliant</v>
      </c>
    </row>
    <row r="109" spans="1:14">
      <c r="A109" t="s">
        <v>19</v>
      </c>
      <c r="B109" t="s">
        <v>18</v>
      </c>
      <c r="C109" t="s">
        <v>21</v>
      </c>
      <c r="D109" t="s">
        <v>20</v>
      </c>
      <c r="E109" t="s">
        <v>27</v>
      </c>
      <c r="F109" s="6">
        <v>45998</v>
      </c>
      <c r="G109" t="s">
        <v>16</v>
      </c>
      <c r="H109">
        <v>25551.29</v>
      </c>
      <c r="I109">
        <f t="shared" si="5"/>
        <v>25551.29</v>
      </c>
      <c r="J109">
        <v>17848.007061570988</v>
      </c>
      <c r="K109">
        <f t="shared" si="6"/>
        <v>17848.007061570988</v>
      </c>
      <c r="L109" s="9">
        <f t="shared" si="7"/>
        <v>0.4316046554584323</v>
      </c>
      <c r="M109" t="str">
        <f t="shared" si="8"/>
        <v>Complete Data</v>
      </c>
      <c r="N109" t="str">
        <f t="shared" si="9"/>
        <v>Non-compliant</v>
      </c>
    </row>
    <row r="110" spans="1:14">
      <c r="A110" t="s">
        <v>11</v>
      </c>
      <c r="B110" t="s">
        <v>12</v>
      </c>
      <c r="C110" t="s">
        <v>13</v>
      </c>
      <c r="D110" t="s">
        <v>14</v>
      </c>
      <c r="E110" t="s">
        <v>27</v>
      </c>
      <c r="F110" s="6">
        <v>45927</v>
      </c>
      <c r="G110" t="s">
        <v>16</v>
      </c>
      <c r="H110">
        <v>94676.65</v>
      </c>
      <c r="I110">
        <f t="shared" si="5"/>
        <v>94676.65</v>
      </c>
      <c r="J110">
        <v>73051.436410323877</v>
      </c>
      <c r="K110">
        <f t="shared" si="6"/>
        <v>73051.436410323877</v>
      </c>
      <c r="L110" s="9">
        <f t="shared" si="7"/>
        <v>0.29602721934458731</v>
      </c>
      <c r="M110" t="str">
        <f t="shared" si="8"/>
        <v>Complete Data</v>
      </c>
      <c r="N110" t="str">
        <f t="shared" si="9"/>
        <v>Non-compliant</v>
      </c>
    </row>
    <row r="111" spans="1:14">
      <c r="A111" t="s">
        <v>25</v>
      </c>
      <c r="B111" t="s">
        <v>12</v>
      </c>
      <c r="C111" t="s">
        <v>26</v>
      </c>
      <c r="D111" t="s">
        <v>14</v>
      </c>
      <c r="E111" t="s">
        <v>27</v>
      </c>
      <c r="F111" s="6">
        <v>45904</v>
      </c>
      <c r="G111" t="s">
        <v>24</v>
      </c>
      <c r="H111">
        <v>47586.68</v>
      </c>
      <c r="I111">
        <f t="shared" si="5"/>
        <v>42828.012000000002</v>
      </c>
      <c r="J111">
        <v>42127.774932635257</v>
      </c>
      <c r="K111">
        <f t="shared" si="6"/>
        <v>37914.997439371735</v>
      </c>
      <c r="L111" s="9">
        <f t="shared" si="7"/>
        <v>0.12957971495275611</v>
      </c>
      <c r="M111" t="str">
        <f t="shared" si="8"/>
        <v>Complete Data</v>
      </c>
      <c r="N111" t="str">
        <f t="shared" si="9"/>
        <v>Compliant</v>
      </c>
    </row>
    <row r="112" spans="1:14">
      <c r="A112" t="s">
        <v>25</v>
      </c>
      <c r="B112" t="s">
        <v>11</v>
      </c>
      <c r="C112" t="s">
        <v>26</v>
      </c>
      <c r="D112" t="s">
        <v>13</v>
      </c>
      <c r="E112" t="s">
        <v>27</v>
      </c>
      <c r="F112" s="6">
        <v>45949</v>
      </c>
      <c r="G112" t="s">
        <v>24</v>
      </c>
      <c r="H112">
        <v>15512.31</v>
      </c>
      <c r="I112">
        <f t="shared" si="5"/>
        <v>13961.079</v>
      </c>
      <c r="J112">
        <v>9309.5687171598584</v>
      </c>
      <c r="K112">
        <f t="shared" si="6"/>
        <v>8378.6118454438729</v>
      </c>
      <c r="L112" s="9">
        <f t="shared" si="7"/>
        <v>0.66627590077367826</v>
      </c>
      <c r="M112" t="str">
        <f t="shared" si="8"/>
        <v>Complete Data</v>
      </c>
      <c r="N112" t="str">
        <f t="shared" si="9"/>
        <v>Non-compliant</v>
      </c>
    </row>
    <row r="113" spans="1:14">
      <c r="A113" t="s">
        <v>18</v>
      </c>
      <c r="B113" t="s">
        <v>19</v>
      </c>
      <c r="C113" t="s">
        <v>20</v>
      </c>
      <c r="D113" t="s">
        <v>21</v>
      </c>
      <c r="E113" t="s">
        <v>27</v>
      </c>
      <c r="F113" s="6">
        <v>45950</v>
      </c>
      <c r="G113" t="s">
        <v>23</v>
      </c>
      <c r="H113">
        <v>21039.71</v>
      </c>
      <c r="I113">
        <f t="shared" si="5"/>
        <v>4628.7362000000003</v>
      </c>
      <c r="J113">
        <v>15184.18000318584</v>
      </c>
      <c r="K113">
        <f t="shared" si="6"/>
        <v>3340.5196007008849</v>
      </c>
      <c r="L113" s="9">
        <f t="shared" si="7"/>
        <v>0.38563359994320362</v>
      </c>
      <c r="M113" t="str">
        <f t="shared" si="8"/>
        <v>Complete Data</v>
      </c>
      <c r="N113" t="str">
        <f t="shared" si="9"/>
        <v>Non-compliant</v>
      </c>
    </row>
    <row r="114" spans="1:14">
      <c r="A114" t="s">
        <v>25</v>
      </c>
      <c r="B114" t="s">
        <v>11</v>
      </c>
      <c r="C114" t="s">
        <v>26</v>
      </c>
      <c r="D114" t="s">
        <v>13</v>
      </c>
      <c r="E114" t="s">
        <v>27</v>
      </c>
      <c r="F114" s="6">
        <v>45660</v>
      </c>
      <c r="G114" t="s">
        <v>23</v>
      </c>
      <c r="H114">
        <v>158932.97</v>
      </c>
      <c r="I114">
        <f t="shared" si="5"/>
        <v>34965.253400000001</v>
      </c>
      <c r="J114">
        <v>121358.3638921153</v>
      </c>
      <c r="K114">
        <f t="shared" si="6"/>
        <v>26698.840056265366</v>
      </c>
      <c r="L114" s="9">
        <f t="shared" si="7"/>
        <v>0.30961694689034897</v>
      </c>
      <c r="M114" t="str">
        <f t="shared" si="8"/>
        <v>Complete Data</v>
      </c>
      <c r="N114" t="str">
        <f t="shared" si="9"/>
        <v>Non-compliant</v>
      </c>
    </row>
    <row r="115" spans="1:14">
      <c r="A115" t="s">
        <v>19</v>
      </c>
      <c r="B115" t="s">
        <v>11</v>
      </c>
      <c r="C115" t="s">
        <v>21</v>
      </c>
      <c r="D115" t="s">
        <v>13</v>
      </c>
      <c r="E115" t="s">
        <v>27</v>
      </c>
      <c r="F115" s="6">
        <v>45695</v>
      </c>
      <c r="G115" t="s">
        <v>24</v>
      </c>
      <c r="H115">
        <v>108675.28</v>
      </c>
      <c r="I115">
        <f t="shared" si="5"/>
        <v>97807.752000000008</v>
      </c>
      <c r="K115" t="str">
        <f t="shared" si="6"/>
        <v/>
      </c>
      <c r="L115" s="9" t="str">
        <f t="shared" si="7"/>
        <v/>
      </c>
      <c r="M115" t="str">
        <f t="shared" si="8"/>
        <v>Missing Cost Base, Margin not calculable</v>
      </c>
      <c r="N115" t="str">
        <f t="shared" si="9"/>
        <v>Unknown</v>
      </c>
    </row>
    <row r="116" spans="1:14">
      <c r="A116" t="s">
        <v>18</v>
      </c>
      <c r="B116" t="s">
        <v>19</v>
      </c>
      <c r="C116" t="s">
        <v>20</v>
      </c>
      <c r="D116" t="s">
        <v>21</v>
      </c>
      <c r="E116" t="s">
        <v>15</v>
      </c>
      <c r="F116" s="6">
        <v>45690</v>
      </c>
      <c r="G116" t="s">
        <v>24</v>
      </c>
      <c r="H116">
        <v>88206.7</v>
      </c>
      <c r="I116">
        <f t="shared" si="5"/>
        <v>79386.03</v>
      </c>
      <c r="J116">
        <v>80827.74068574651</v>
      </c>
      <c r="K116">
        <f t="shared" si="6"/>
        <v>72744.966617171856</v>
      </c>
      <c r="L116" s="9">
        <f t="shared" si="7"/>
        <v>9.1292410893216117E-2</v>
      </c>
      <c r="M116" t="str">
        <f t="shared" si="8"/>
        <v>Complete Data</v>
      </c>
      <c r="N116" t="str">
        <f t="shared" si="9"/>
        <v>Compliant</v>
      </c>
    </row>
    <row r="117" spans="1:14">
      <c r="A117" t="s">
        <v>12</v>
      </c>
      <c r="B117" t="s">
        <v>18</v>
      </c>
      <c r="C117" t="s">
        <v>14</v>
      </c>
      <c r="D117" t="s">
        <v>20</v>
      </c>
      <c r="E117" t="s">
        <v>27</v>
      </c>
      <c r="F117" s="6">
        <v>45710</v>
      </c>
      <c r="G117" t="s">
        <v>24</v>
      </c>
      <c r="H117">
        <v>110440.31</v>
      </c>
      <c r="I117">
        <f t="shared" si="5"/>
        <v>99396.278999999995</v>
      </c>
      <c r="K117" t="str">
        <f t="shared" si="6"/>
        <v/>
      </c>
      <c r="L117" s="9" t="str">
        <f t="shared" si="7"/>
        <v/>
      </c>
      <c r="M117" t="str">
        <f t="shared" si="8"/>
        <v>Missing Cost Base, Margin not calculable</v>
      </c>
      <c r="N117" t="str">
        <f t="shared" si="9"/>
        <v>Unknown</v>
      </c>
    </row>
    <row r="118" spans="1:14">
      <c r="A118" t="s">
        <v>19</v>
      </c>
      <c r="B118" t="s">
        <v>12</v>
      </c>
      <c r="C118" t="s">
        <v>21</v>
      </c>
      <c r="D118" t="s">
        <v>14</v>
      </c>
      <c r="E118" t="s">
        <v>22</v>
      </c>
      <c r="F118" s="6">
        <v>45928</v>
      </c>
      <c r="G118" t="s">
        <v>24</v>
      </c>
      <c r="H118">
        <v>95813.43</v>
      </c>
      <c r="I118">
        <f t="shared" si="5"/>
        <v>86232.087</v>
      </c>
      <c r="J118">
        <v>60158.29466760061</v>
      </c>
      <c r="K118">
        <f t="shared" si="6"/>
        <v>54142.465200840554</v>
      </c>
      <c r="L118" s="9">
        <f t="shared" si="7"/>
        <v>0.5926885981294634</v>
      </c>
      <c r="M118" t="str">
        <f t="shared" si="8"/>
        <v>Complete Data</v>
      </c>
      <c r="N118" t="str">
        <f t="shared" si="9"/>
        <v>Non-compliant</v>
      </c>
    </row>
    <row r="119" spans="1:14">
      <c r="A119" t="s">
        <v>11</v>
      </c>
      <c r="B119" t="s">
        <v>12</v>
      </c>
      <c r="C119" t="s">
        <v>13</v>
      </c>
      <c r="D119" t="s">
        <v>14</v>
      </c>
      <c r="E119" t="s">
        <v>15</v>
      </c>
      <c r="F119" s="6">
        <v>45803</v>
      </c>
      <c r="G119" t="s">
        <v>16</v>
      </c>
      <c r="H119">
        <v>173692.48</v>
      </c>
      <c r="I119">
        <f t="shared" si="5"/>
        <v>173692.48</v>
      </c>
      <c r="K119" t="str">
        <f t="shared" si="6"/>
        <v/>
      </c>
      <c r="L119" s="9" t="str">
        <f t="shared" si="7"/>
        <v/>
      </c>
      <c r="M119" t="str">
        <f t="shared" si="8"/>
        <v>Missing Cost Base, Margin not calculable</v>
      </c>
      <c r="N119" t="str">
        <f t="shared" si="9"/>
        <v>Unknown</v>
      </c>
    </row>
    <row r="120" spans="1:14">
      <c r="A120" t="s">
        <v>19</v>
      </c>
      <c r="B120" t="s">
        <v>18</v>
      </c>
      <c r="C120" t="s">
        <v>21</v>
      </c>
      <c r="D120" t="s">
        <v>20</v>
      </c>
      <c r="E120" t="s">
        <v>27</v>
      </c>
      <c r="F120" s="6">
        <v>45970</v>
      </c>
      <c r="G120" t="s">
        <v>16</v>
      </c>
      <c r="H120">
        <v>48882.79</v>
      </c>
      <c r="I120">
        <f t="shared" si="5"/>
        <v>48882.79</v>
      </c>
      <c r="J120">
        <v>44892.606819961358</v>
      </c>
      <c r="K120">
        <f t="shared" si="6"/>
        <v>44892.606819961358</v>
      </c>
      <c r="L120" s="9">
        <f t="shared" si="7"/>
        <v>8.8882857617090305E-2</v>
      </c>
      <c r="M120" t="str">
        <f t="shared" si="8"/>
        <v>Complete Data</v>
      </c>
      <c r="N120" t="str">
        <f t="shared" si="9"/>
        <v>Compliant</v>
      </c>
    </row>
    <row r="121" spans="1:14">
      <c r="A121" t="s">
        <v>19</v>
      </c>
      <c r="B121" t="s">
        <v>18</v>
      </c>
      <c r="C121" t="s">
        <v>21</v>
      </c>
      <c r="D121" t="s">
        <v>20</v>
      </c>
      <c r="E121" t="s">
        <v>22</v>
      </c>
      <c r="F121" s="6">
        <v>45813</v>
      </c>
      <c r="G121" t="s">
        <v>24</v>
      </c>
      <c r="H121">
        <v>69990.44</v>
      </c>
      <c r="I121">
        <f t="shared" si="5"/>
        <v>62991.396000000001</v>
      </c>
      <c r="J121">
        <v>43352.831862369108</v>
      </c>
      <c r="K121">
        <f t="shared" si="6"/>
        <v>39017.548676132195</v>
      </c>
      <c r="L121" s="9">
        <f t="shared" si="7"/>
        <v>0.6144375579015573</v>
      </c>
      <c r="M121" t="str">
        <f t="shared" si="8"/>
        <v>Complete Data</v>
      </c>
      <c r="N121" t="str">
        <f t="shared" si="9"/>
        <v>Non-compliant</v>
      </c>
    </row>
    <row r="122" spans="1:14">
      <c r="A122" t="s">
        <v>19</v>
      </c>
      <c r="B122" t="s">
        <v>11</v>
      </c>
      <c r="C122" t="s">
        <v>21</v>
      </c>
      <c r="D122" t="s">
        <v>13</v>
      </c>
      <c r="E122" t="s">
        <v>27</v>
      </c>
      <c r="F122" s="6">
        <v>45816</v>
      </c>
      <c r="G122" t="s">
        <v>16</v>
      </c>
      <c r="H122">
        <v>105592.12</v>
      </c>
      <c r="I122">
        <f t="shared" si="5"/>
        <v>105592.12</v>
      </c>
      <c r="J122">
        <v>83460.385611455451</v>
      </c>
      <c r="K122">
        <f t="shared" si="6"/>
        <v>83460.385611455451</v>
      </c>
      <c r="L122" s="9">
        <f t="shared" si="7"/>
        <v>0.26517651729501268</v>
      </c>
      <c r="M122" t="str">
        <f t="shared" si="8"/>
        <v>Complete Data</v>
      </c>
      <c r="N122" t="str">
        <f t="shared" si="9"/>
        <v>Non-compliant</v>
      </c>
    </row>
    <row r="123" spans="1:14">
      <c r="A123" t="s">
        <v>12</v>
      </c>
      <c r="B123" t="s">
        <v>18</v>
      </c>
      <c r="C123" t="s">
        <v>14</v>
      </c>
      <c r="D123" t="s">
        <v>20</v>
      </c>
      <c r="E123" t="s">
        <v>15</v>
      </c>
      <c r="F123" s="6">
        <v>45679</v>
      </c>
      <c r="G123" t="s">
        <v>16</v>
      </c>
      <c r="H123">
        <v>14418.5</v>
      </c>
      <c r="I123">
        <f t="shared" si="5"/>
        <v>14418.5</v>
      </c>
      <c r="J123">
        <v>10634.06323377606</v>
      </c>
      <c r="K123">
        <f t="shared" si="6"/>
        <v>10634.06323377606</v>
      </c>
      <c r="L123" s="9">
        <f t="shared" si="7"/>
        <v>0.35587871569201879</v>
      </c>
      <c r="M123" t="str">
        <f t="shared" si="8"/>
        <v>Complete Data</v>
      </c>
      <c r="N123" t="str">
        <f t="shared" si="9"/>
        <v>Non-compliant</v>
      </c>
    </row>
    <row r="124" spans="1:14">
      <c r="A124" t="s">
        <v>12</v>
      </c>
      <c r="B124" t="s">
        <v>18</v>
      </c>
      <c r="C124" t="s">
        <v>14</v>
      </c>
      <c r="D124" t="s">
        <v>20</v>
      </c>
      <c r="E124" t="s">
        <v>22</v>
      </c>
      <c r="F124" s="6">
        <v>45834</v>
      </c>
      <c r="G124" t="s">
        <v>16</v>
      </c>
      <c r="H124">
        <v>173988.61</v>
      </c>
      <c r="I124">
        <f t="shared" si="5"/>
        <v>173988.61</v>
      </c>
      <c r="J124">
        <v>110406.24553028779</v>
      </c>
      <c r="K124">
        <f t="shared" si="6"/>
        <v>110406.24553028779</v>
      </c>
      <c r="L124" s="9">
        <f t="shared" si="7"/>
        <v>0.57589463498484439</v>
      </c>
      <c r="M124" t="str">
        <f t="shared" si="8"/>
        <v>Complete Data</v>
      </c>
      <c r="N124" t="str">
        <f t="shared" si="9"/>
        <v>Non-compliant</v>
      </c>
    </row>
    <row r="125" spans="1:14">
      <c r="A125" t="s">
        <v>19</v>
      </c>
      <c r="B125" t="s">
        <v>18</v>
      </c>
      <c r="C125" t="s">
        <v>21</v>
      </c>
      <c r="D125" t="s">
        <v>20</v>
      </c>
      <c r="E125" t="s">
        <v>27</v>
      </c>
      <c r="F125" s="6">
        <v>45951</v>
      </c>
      <c r="G125" t="s">
        <v>23</v>
      </c>
      <c r="H125">
        <v>160924.98000000001</v>
      </c>
      <c r="I125">
        <f t="shared" si="5"/>
        <v>35403.495600000002</v>
      </c>
      <c r="J125">
        <v>111182.1735616494</v>
      </c>
      <c r="K125">
        <f t="shared" si="6"/>
        <v>24460.078183562866</v>
      </c>
      <c r="L125" s="9">
        <f t="shared" si="7"/>
        <v>0.44739911844562685</v>
      </c>
      <c r="M125" t="str">
        <f t="shared" si="8"/>
        <v>Complete Data</v>
      </c>
      <c r="N125" t="str">
        <f t="shared" si="9"/>
        <v>Non-compliant</v>
      </c>
    </row>
    <row r="126" spans="1:14">
      <c r="A126" t="s">
        <v>18</v>
      </c>
      <c r="B126" t="s">
        <v>12</v>
      </c>
      <c r="C126" t="s">
        <v>20</v>
      </c>
      <c r="D126" t="s">
        <v>14</v>
      </c>
      <c r="E126" t="s">
        <v>22</v>
      </c>
      <c r="F126" s="6">
        <v>45885</v>
      </c>
      <c r="G126" t="s">
        <v>23</v>
      </c>
      <c r="H126">
        <v>104969.03</v>
      </c>
      <c r="I126">
        <f t="shared" si="5"/>
        <v>23093.186600000001</v>
      </c>
      <c r="J126">
        <v>98545.390274441888</v>
      </c>
      <c r="K126">
        <f t="shared" si="6"/>
        <v>21679.985860377215</v>
      </c>
      <c r="L126" s="9">
        <f t="shared" si="7"/>
        <v>6.5184578473622537E-2</v>
      </c>
      <c r="M126" t="str">
        <f t="shared" si="8"/>
        <v>Complete Data</v>
      </c>
      <c r="N126" t="str">
        <f t="shared" si="9"/>
        <v>Compliant</v>
      </c>
    </row>
    <row r="127" spans="1:14">
      <c r="A127" t="s">
        <v>11</v>
      </c>
      <c r="B127" t="s">
        <v>18</v>
      </c>
      <c r="C127" t="s">
        <v>13</v>
      </c>
      <c r="D127" t="s">
        <v>20</v>
      </c>
      <c r="E127" t="s">
        <v>22</v>
      </c>
      <c r="F127" s="6">
        <v>45960</v>
      </c>
      <c r="G127" t="s">
        <v>16</v>
      </c>
      <c r="H127">
        <v>195074.37</v>
      </c>
      <c r="I127">
        <f t="shared" si="5"/>
        <v>195074.37</v>
      </c>
      <c r="J127">
        <v>152986.8945928984</v>
      </c>
      <c r="K127">
        <f t="shared" si="6"/>
        <v>152986.8945928984</v>
      </c>
      <c r="L127" s="9">
        <f t="shared" si="7"/>
        <v>0.27510510308152419</v>
      </c>
      <c r="M127" t="str">
        <f t="shared" si="8"/>
        <v>Complete Data</v>
      </c>
      <c r="N127" t="str">
        <f t="shared" si="9"/>
        <v>Non-compliant</v>
      </c>
    </row>
    <row r="128" spans="1:14">
      <c r="A128" t="s">
        <v>12</v>
      </c>
      <c r="B128" t="s">
        <v>18</v>
      </c>
      <c r="C128" t="s">
        <v>14</v>
      </c>
      <c r="D128" t="s">
        <v>20</v>
      </c>
      <c r="E128" t="s">
        <v>27</v>
      </c>
      <c r="F128" s="6">
        <v>46020</v>
      </c>
      <c r="G128" t="s">
        <v>16</v>
      </c>
      <c r="H128">
        <v>36277.06</v>
      </c>
      <c r="I128">
        <f t="shared" si="5"/>
        <v>36277.06</v>
      </c>
      <c r="J128">
        <v>32715.42136424331</v>
      </c>
      <c r="K128">
        <f t="shared" si="6"/>
        <v>32715.42136424331</v>
      </c>
      <c r="L128" s="9">
        <f t="shared" si="7"/>
        <v>0.10886727076208229</v>
      </c>
      <c r="M128" t="str">
        <f t="shared" si="8"/>
        <v>Complete Data</v>
      </c>
      <c r="N128" t="str">
        <f t="shared" si="9"/>
        <v>Compliant</v>
      </c>
    </row>
    <row r="129" spans="1:14">
      <c r="A129" t="s">
        <v>25</v>
      </c>
      <c r="B129" t="s">
        <v>18</v>
      </c>
      <c r="C129" t="s">
        <v>26</v>
      </c>
      <c r="D129" t="s">
        <v>20</v>
      </c>
      <c r="E129" t="s">
        <v>15</v>
      </c>
      <c r="F129" s="6">
        <v>45753</v>
      </c>
      <c r="G129" t="s">
        <v>16</v>
      </c>
      <c r="H129">
        <v>198001.58</v>
      </c>
      <c r="I129">
        <f t="shared" si="5"/>
        <v>198001.58</v>
      </c>
      <c r="J129">
        <v>170788.31108689541</v>
      </c>
      <c r="K129">
        <f t="shared" si="6"/>
        <v>170788.31108689541</v>
      </c>
      <c r="L129" s="9">
        <f t="shared" si="7"/>
        <v>0.15933917690221044</v>
      </c>
      <c r="M129" t="str">
        <f t="shared" si="8"/>
        <v>Complete Data</v>
      </c>
      <c r="N129" t="str">
        <f t="shared" si="9"/>
        <v>Non-compliant</v>
      </c>
    </row>
    <row r="130" spans="1:14">
      <c r="A130" t="s">
        <v>18</v>
      </c>
      <c r="B130" t="s">
        <v>12</v>
      </c>
      <c r="C130" t="s">
        <v>20</v>
      </c>
      <c r="D130" t="s">
        <v>14</v>
      </c>
      <c r="E130" t="s">
        <v>15</v>
      </c>
      <c r="F130" s="6">
        <v>45780</v>
      </c>
      <c r="G130" t="s">
        <v>16</v>
      </c>
      <c r="H130">
        <v>46332.23</v>
      </c>
      <c r="I130">
        <f t="shared" ref="I130:I193" si="10">IF(G130="USD",H130*0.9,IF(G130="PLN",H130*0.22,IF(G130="EUR",H130,"")))</f>
        <v>46332.23</v>
      </c>
      <c r="K130" t="str">
        <f t="shared" si="6"/>
        <v/>
      </c>
      <c r="L130" s="9" t="str">
        <f t="shared" si="7"/>
        <v/>
      </c>
      <c r="M130" t="str">
        <f t="shared" si="8"/>
        <v>Missing Cost Base, Margin not calculable</v>
      </c>
      <c r="N130" t="str">
        <f t="shared" si="9"/>
        <v>Unknown</v>
      </c>
    </row>
    <row r="131" spans="1:14">
      <c r="A131" t="s">
        <v>18</v>
      </c>
      <c r="B131" t="s">
        <v>12</v>
      </c>
      <c r="C131" t="s">
        <v>20</v>
      </c>
      <c r="D131" t="s">
        <v>14</v>
      </c>
      <c r="E131" t="s">
        <v>22</v>
      </c>
      <c r="F131" s="6">
        <v>45957</v>
      </c>
      <c r="G131" t="s">
        <v>23</v>
      </c>
      <c r="H131">
        <v>158578.29999999999</v>
      </c>
      <c r="I131">
        <f t="shared" si="10"/>
        <v>34887.225999999995</v>
      </c>
      <c r="J131">
        <v>109455.660354996</v>
      </c>
      <c r="K131">
        <f t="shared" ref="K131:K194" si="11">IF(J131="","",IF(G131="EUR",J131,IF(G131="USD",J131*0.9,IF(G131="PLN",J131*0.22,""))))</f>
        <v>24080.245278099119</v>
      </c>
      <c r="L131" s="9">
        <f t="shared" ref="L131:L194" si="12">IF(K131="","",(I131-K131)/K131)</f>
        <v>0.44879030911407614</v>
      </c>
      <c r="M131" t="str">
        <f t="shared" ref="M131:M194" si="13">IF(I131="","Missing Amount, Margin not calculable",IF(K131="","Missing Cost Base, Margin not calculable","Complete Data"))</f>
        <v>Complete Data</v>
      </c>
      <c r="N131" t="str">
        <f t="shared" ref="N131:N194" si="14">IF(K131="","Unknown",IF(E131="Goods",IF(AND(L131&gt;=0.03,L131&lt;=0.08),"Compliant","Non-compliant"),IF(E131="Services",IF(AND(L131&gt;=0.05,L131&lt;=0.1),"Compliant","Non-compliant"),IF(E131="Royalties",IF(AND(L131&gt;=0.08,L131&lt;=0.15),"Compliant","Non-compliant"),"Unknown"))))</f>
        <v>Non-compliant</v>
      </c>
    </row>
    <row r="132" spans="1:14">
      <c r="A132" t="s">
        <v>12</v>
      </c>
      <c r="B132" t="s">
        <v>25</v>
      </c>
      <c r="C132" t="s">
        <v>14</v>
      </c>
      <c r="D132" t="s">
        <v>26</v>
      </c>
      <c r="E132" t="s">
        <v>27</v>
      </c>
      <c r="F132" s="6">
        <v>45703</v>
      </c>
      <c r="G132" t="s">
        <v>16</v>
      </c>
      <c r="H132">
        <v>21156.81</v>
      </c>
      <c r="I132">
        <f t="shared" si="10"/>
        <v>21156.81</v>
      </c>
      <c r="J132">
        <v>15369.28315829864</v>
      </c>
      <c r="K132">
        <f t="shared" si="11"/>
        <v>15369.28315829864</v>
      </c>
      <c r="L132" s="9">
        <f t="shared" si="12"/>
        <v>0.37656452692631848</v>
      </c>
      <c r="M132" t="str">
        <f t="shared" si="13"/>
        <v>Complete Data</v>
      </c>
      <c r="N132" t="str">
        <f t="shared" si="14"/>
        <v>Non-compliant</v>
      </c>
    </row>
    <row r="133" spans="1:14">
      <c r="A133" t="s">
        <v>12</v>
      </c>
      <c r="B133" t="s">
        <v>25</v>
      </c>
      <c r="C133" t="s">
        <v>14</v>
      </c>
      <c r="D133" t="s">
        <v>26</v>
      </c>
      <c r="E133" t="s">
        <v>27</v>
      </c>
      <c r="F133" s="6">
        <v>45898</v>
      </c>
      <c r="G133" t="s">
        <v>24</v>
      </c>
      <c r="H133">
        <v>140876.1</v>
      </c>
      <c r="I133">
        <f t="shared" si="10"/>
        <v>126788.49</v>
      </c>
      <c r="J133">
        <v>105666.8054882946</v>
      </c>
      <c r="K133">
        <f t="shared" si="11"/>
        <v>95100.124939465139</v>
      </c>
      <c r="L133" s="9">
        <f t="shared" si="12"/>
        <v>0.33321055130795801</v>
      </c>
      <c r="M133" t="str">
        <f t="shared" si="13"/>
        <v>Complete Data</v>
      </c>
      <c r="N133" t="str">
        <f t="shared" si="14"/>
        <v>Non-compliant</v>
      </c>
    </row>
    <row r="134" spans="1:14">
      <c r="A134" t="s">
        <v>18</v>
      </c>
      <c r="B134" t="s">
        <v>12</v>
      </c>
      <c r="C134" t="s">
        <v>20</v>
      </c>
      <c r="D134" t="s">
        <v>14</v>
      </c>
      <c r="E134" t="s">
        <v>15</v>
      </c>
      <c r="F134" s="6">
        <v>45948</v>
      </c>
      <c r="G134" t="s">
        <v>24</v>
      </c>
      <c r="H134">
        <v>8574.8700000000008</v>
      </c>
      <c r="I134">
        <f t="shared" si="10"/>
        <v>7717.3830000000007</v>
      </c>
      <c r="K134" t="str">
        <f t="shared" si="11"/>
        <v/>
      </c>
      <c r="L134" s="9" t="str">
        <f t="shared" si="12"/>
        <v/>
      </c>
      <c r="M134" t="str">
        <f t="shared" si="13"/>
        <v>Missing Cost Base, Margin not calculable</v>
      </c>
      <c r="N134" t="str">
        <f t="shared" si="14"/>
        <v>Unknown</v>
      </c>
    </row>
    <row r="135" spans="1:14">
      <c r="A135" t="s">
        <v>25</v>
      </c>
      <c r="B135" t="s">
        <v>12</v>
      </c>
      <c r="C135" t="s">
        <v>26</v>
      </c>
      <c r="D135" t="s">
        <v>14</v>
      </c>
      <c r="E135" t="s">
        <v>15</v>
      </c>
      <c r="F135" s="6">
        <v>45747</v>
      </c>
      <c r="G135" t="s">
        <v>24</v>
      </c>
      <c r="H135">
        <v>168055.1</v>
      </c>
      <c r="I135">
        <f t="shared" si="10"/>
        <v>151249.59</v>
      </c>
      <c r="J135">
        <v>105906.6084385061</v>
      </c>
      <c r="K135">
        <f t="shared" si="11"/>
        <v>95315.947594655489</v>
      </c>
      <c r="L135" s="9">
        <f t="shared" si="12"/>
        <v>0.58682354649832802</v>
      </c>
      <c r="M135" t="str">
        <f t="shared" si="13"/>
        <v>Complete Data</v>
      </c>
      <c r="N135" t="str">
        <f t="shared" si="14"/>
        <v>Non-compliant</v>
      </c>
    </row>
    <row r="136" spans="1:14">
      <c r="A136" t="s">
        <v>11</v>
      </c>
      <c r="B136" t="s">
        <v>25</v>
      </c>
      <c r="C136" t="s">
        <v>13</v>
      </c>
      <c r="D136" t="s">
        <v>26</v>
      </c>
      <c r="E136" t="s">
        <v>27</v>
      </c>
      <c r="F136" s="6">
        <v>45912</v>
      </c>
      <c r="G136" t="s">
        <v>23</v>
      </c>
      <c r="H136">
        <v>132469.5</v>
      </c>
      <c r="I136">
        <f t="shared" si="10"/>
        <v>29143.29</v>
      </c>
      <c r="J136">
        <v>107708.90790758371</v>
      </c>
      <c r="K136">
        <f t="shared" si="11"/>
        <v>23695.959739668415</v>
      </c>
      <c r="L136" s="9">
        <f t="shared" si="12"/>
        <v>0.22988434822550943</v>
      </c>
      <c r="M136" t="str">
        <f t="shared" si="13"/>
        <v>Complete Data</v>
      </c>
      <c r="N136" t="str">
        <f t="shared" si="14"/>
        <v>Non-compliant</v>
      </c>
    </row>
    <row r="137" spans="1:14">
      <c r="A137" t="s">
        <v>11</v>
      </c>
      <c r="B137" t="s">
        <v>19</v>
      </c>
      <c r="C137" t="s">
        <v>13</v>
      </c>
      <c r="D137" t="s">
        <v>21</v>
      </c>
      <c r="E137" t="s">
        <v>27</v>
      </c>
      <c r="F137" s="6">
        <v>45659</v>
      </c>
      <c r="G137" t="s">
        <v>23</v>
      </c>
      <c r="H137">
        <v>178582.43</v>
      </c>
      <c r="I137">
        <f t="shared" si="10"/>
        <v>39288.134599999998</v>
      </c>
      <c r="K137" t="str">
        <f t="shared" si="11"/>
        <v/>
      </c>
      <c r="L137" s="9" t="str">
        <f t="shared" si="12"/>
        <v/>
      </c>
      <c r="M137" t="str">
        <f t="shared" si="13"/>
        <v>Missing Cost Base, Margin not calculable</v>
      </c>
      <c r="N137" t="str">
        <f t="shared" si="14"/>
        <v>Unknown</v>
      </c>
    </row>
    <row r="138" spans="1:14">
      <c r="A138" t="s">
        <v>25</v>
      </c>
      <c r="B138" t="s">
        <v>19</v>
      </c>
      <c r="C138" t="s">
        <v>26</v>
      </c>
      <c r="D138" t="s">
        <v>21</v>
      </c>
      <c r="E138" t="s">
        <v>22</v>
      </c>
      <c r="F138" s="6">
        <v>45861</v>
      </c>
      <c r="G138" t="s">
        <v>24</v>
      </c>
      <c r="H138">
        <v>198041.26</v>
      </c>
      <c r="I138">
        <f t="shared" si="10"/>
        <v>178237.13400000002</v>
      </c>
      <c r="J138">
        <v>146611.09467088789</v>
      </c>
      <c r="K138">
        <f t="shared" si="11"/>
        <v>131949.98520379909</v>
      </c>
      <c r="L138" s="9">
        <f t="shared" si="12"/>
        <v>0.35079313366128539</v>
      </c>
      <c r="M138" t="str">
        <f t="shared" si="13"/>
        <v>Complete Data</v>
      </c>
      <c r="N138" t="str">
        <f t="shared" si="14"/>
        <v>Non-compliant</v>
      </c>
    </row>
    <row r="139" spans="1:14">
      <c r="A139" t="s">
        <v>19</v>
      </c>
      <c r="B139" t="s">
        <v>25</v>
      </c>
      <c r="C139" t="s">
        <v>21</v>
      </c>
      <c r="D139" t="s">
        <v>26</v>
      </c>
      <c r="E139" t="s">
        <v>27</v>
      </c>
      <c r="F139" s="6">
        <v>45938</v>
      </c>
      <c r="G139" t="s">
        <v>16</v>
      </c>
      <c r="H139">
        <v>33624.51</v>
      </c>
      <c r="I139">
        <f t="shared" si="10"/>
        <v>33624.51</v>
      </c>
      <c r="J139">
        <v>31736.36287177377</v>
      </c>
      <c r="K139">
        <f t="shared" si="11"/>
        <v>31736.36287177377</v>
      </c>
      <c r="L139" s="9">
        <f t="shared" si="12"/>
        <v>5.9494754829185058E-2</v>
      </c>
      <c r="M139" t="str">
        <f t="shared" si="13"/>
        <v>Complete Data</v>
      </c>
      <c r="N139" t="str">
        <f t="shared" si="14"/>
        <v>Non-compliant</v>
      </c>
    </row>
    <row r="140" spans="1:14">
      <c r="A140" t="s">
        <v>11</v>
      </c>
      <c r="B140" t="s">
        <v>19</v>
      </c>
      <c r="C140" t="s">
        <v>13</v>
      </c>
      <c r="D140" t="s">
        <v>21</v>
      </c>
      <c r="E140" t="s">
        <v>15</v>
      </c>
      <c r="F140" s="6">
        <v>45726</v>
      </c>
      <c r="G140" t="s">
        <v>16</v>
      </c>
      <c r="H140">
        <v>155601.49</v>
      </c>
      <c r="I140">
        <f t="shared" si="10"/>
        <v>155601.49</v>
      </c>
      <c r="K140" t="str">
        <f t="shared" si="11"/>
        <v/>
      </c>
      <c r="L140" s="9" t="str">
        <f t="shared" si="12"/>
        <v/>
      </c>
      <c r="M140" t="str">
        <f t="shared" si="13"/>
        <v>Missing Cost Base, Margin not calculable</v>
      </c>
      <c r="N140" t="str">
        <f t="shared" si="14"/>
        <v>Unknown</v>
      </c>
    </row>
    <row r="141" spans="1:14">
      <c r="A141" t="s">
        <v>11</v>
      </c>
      <c r="B141" t="s">
        <v>19</v>
      </c>
      <c r="C141" t="s">
        <v>13</v>
      </c>
      <c r="D141" t="s">
        <v>21</v>
      </c>
      <c r="E141" t="s">
        <v>22</v>
      </c>
      <c r="F141" s="6">
        <v>45851</v>
      </c>
      <c r="G141" t="s">
        <v>16</v>
      </c>
      <c r="H141">
        <v>178748.7</v>
      </c>
      <c r="I141">
        <f t="shared" si="10"/>
        <v>178748.7</v>
      </c>
      <c r="J141">
        <v>161020.62956901221</v>
      </c>
      <c r="K141">
        <f t="shared" si="11"/>
        <v>161020.62956901221</v>
      </c>
      <c r="L141" s="9">
        <f t="shared" si="12"/>
        <v>0.11009813139123077</v>
      </c>
      <c r="M141" t="str">
        <f t="shared" si="13"/>
        <v>Complete Data</v>
      </c>
      <c r="N141" t="str">
        <f t="shared" si="14"/>
        <v>Non-compliant</v>
      </c>
    </row>
    <row r="142" spans="1:14">
      <c r="A142" t="s">
        <v>12</v>
      </c>
      <c r="B142" t="s">
        <v>25</v>
      </c>
      <c r="C142" t="s">
        <v>14</v>
      </c>
      <c r="D142" t="s">
        <v>26</v>
      </c>
      <c r="E142" t="s">
        <v>22</v>
      </c>
      <c r="F142" s="6">
        <v>45944</v>
      </c>
      <c r="G142" t="s">
        <v>16</v>
      </c>
      <c r="H142">
        <v>70020.66</v>
      </c>
      <c r="I142">
        <f t="shared" si="10"/>
        <v>70020.66</v>
      </c>
      <c r="J142">
        <v>62569.989058085288</v>
      </c>
      <c r="K142">
        <f t="shared" si="11"/>
        <v>62569.989058085288</v>
      </c>
      <c r="L142" s="9">
        <f t="shared" si="12"/>
        <v>0.11907738924163901</v>
      </c>
      <c r="M142" t="str">
        <f t="shared" si="13"/>
        <v>Complete Data</v>
      </c>
      <c r="N142" t="str">
        <f t="shared" si="14"/>
        <v>Non-compliant</v>
      </c>
    </row>
    <row r="143" spans="1:14">
      <c r="A143" t="s">
        <v>18</v>
      </c>
      <c r="B143" t="s">
        <v>11</v>
      </c>
      <c r="C143" t="s">
        <v>20</v>
      </c>
      <c r="D143" t="s">
        <v>13</v>
      </c>
      <c r="E143" t="s">
        <v>22</v>
      </c>
      <c r="F143" s="6">
        <v>45790</v>
      </c>
      <c r="G143" t="s">
        <v>16</v>
      </c>
      <c r="H143">
        <v>186712.92</v>
      </c>
      <c r="I143">
        <f t="shared" si="10"/>
        <v>186712.92</v>
      </c>
      <c r="J143">
        <v>126920.92701198001</v>
      </c>
      <c r="K143">
        <f t="shared" si="11"/>
        <v>126920.92701198001</v>
      </c>
      <c r="L143" s="9">
        <f t="shared" si="12"/>
        <v>0.4710964093602647</v>
      </c>
      <c r="M143" t="str">
        <f t="shared" si="13"/>
        <v>Complete Data</v>
      </c>
      <c r="N143" t="str">
        <f t="shared" si="14"/>
        <v>Non-compliant</v>
      </c>
    </row>
    <row r="144" spans="1:14">
      <c r="A144" t="s">
        <v>18</v>
      </c>
      <c r="B144" t="s">
        <v>11</v>
      </c>
      <c r="C144" t="s">
        <v>20</v>
      </c>
      <c r="D144" t="s">
        <v>13</v>
      </c>
      <c r="E144" t="s">
        <v>15</v>
      </c>
      <c r="F144" s="6">
        <v>45951</v>
      </c>
      <c r="G144" t="s">
        <v>24</v>
      </c>
      <c r="H144">
        <v>172012.25</v>
      </c>
      <c r="I144">
        <f t="shared" si="10"/>
        <v>154811.02499999999</v>
      </c>
      <c r="K144" t="str">
        <f t="shared" si="11"/>
        <v/>
      </c>
      <c r="L144" s="9" t="str">
        <f t="shared" si="12"/>
        <v/>
      </c>
      <c r="M144" t="str">
        <f t="shared" si="13"/>
        <v>Missing Cost Base, Margin not calculable</v>
      </c>
      <c r="N144" t="str">
        <f t="shared" si="14"/>
        <v>Unknown</v>
      </c>
    </row>
    <row r="145" spans="1:14">
      <c r="A145" t="s">
        <v>12</v>
      </c>
      <c r="B145" t="s">
        <v>25</v>
      </c>
      <c r="C145" t="s">
        <v>14</v>
      </c>
      <c r="D145" t="s">
        <v>26</v>
      </c>
      <c r="E145" t="s">
        <v>22</v>
      </c>
      <c r="F145" s="6">
        <v>45951</v>
      </c>
      <c r="G145" t="s">
        <v>23</v>
      </c>
      <c r="H145">
        <v>98297.82</v>
      </c>
      <c r="I145">
        <f t="shared" si="10"/>
        <v>21625.520400000001</v>
      </c>
      <c r="K145" t="str">
        <f t="shared" si="11"/>
        <v/>
      </c>
      <c r="L145" s="9" t="str">
        <f t="shared" si="12"/>
        <v/>
      </c>
      <c r="M145" t="str">
        <f t="shared" si="13"/>
        <v>Missing Cost Base, Margin not calculable</v>
      </c>
      <c r="N145" t="str">
        <f t="shared" si="14"/>
        <v>Unknown</v>
      </c>
    </row>
    <row r="146" spans="1:14">
      <c r="A146" t="s">
        <v>11</v>
      </c>
      <c r="B146" t="s">
        <v>25</v>
      </c>
      <c r="C146" t="s">
        <v>13</v>
      </c>
      <c r="D146" t="s">
        <v>26</v>
      </c>
      <c r="E146" t="s">
        <v>15</v>
      </c>
      <c r="F146" s="6">
        <v>45845</v>
      </c>
      <c r="G146" t="s">
        <v>16</v>
      </c>
      <c r="H146">
        <v>118770.51</v>
      </c>
      <c r="I146">
        <f t="shared" si="10"/>
        <v>118770.51</v>
      </c>
      <c r="J146">
        <v>77746.864086093919</v>
      </c>
      <c r="K146">
        <f t="shared" si="11"/>
        <v>77746.864086093919</v>
      </c>
      <c r="L146" s="9">
        <f t="shared" si="12"/>
        <v>0.52765659935142917</v>
      </c>
      <c r="M146" t="str">
        <f t="shared" si="13"/>
        <v>Complete Data</v>
      </c>
      <c r="N146" t="str">
        <f t="shared" si="14"/>
        <v>Non-compliant</v>
      </c>
    </row>
    <row r="147" spans="1:14">
      <c r="A147" t="s">
        <v>18</v>
      </c>
      <c r="B147" t="s">
        <v>11</v>
      </c>
      <c r="C147" t="s">
        <v>20</v>
      </c>
      <c r="D147" t="s">
        <v>13</v>
      </c>
      <c r="E147" t="s">
        <v>27</v>
      </c>
      <c r="F147" s="6">
        <v>46011</v>
      </c>
      <c r="G147" t="s">
        <v>23</v>
      </c>
      <c r="H147">
        <v>23247.53</v>
      </c>
      <c r="I147">
        <f t="shared" si="10"/>
        <v>5114.4565999999995</v>
      </c>
      <c r="J147">
        <v>21884.585713769829</v>
      </c>
      <c r="K147">
        <f t="shared" si="11"/>
        <v>4814.6088570293623</v>
      </c>
      <c r="L147" s="9">
        <f t="shared" si="12"/>
        <v>6.2278733719533096E-2</v>
      </c>
      <c r="M147" t="str">
        <f t="shared" si="13"/>
        <v>Complete Data</v>
      </c>
      <c r="N147" t="str">
        <f t="shared" si="14"/>
        <v>Non-compliant</v>
      </c>
    </row>
    <row r="148" spans="1:14">
      <c r="A148" t="s">
        <v>18</v>
      </c>
      <c r="B148" t="s">
        <v>12</v>
      </c>
      <c r="C148" t="s">
        <v>20</v>
      </c>
      <c r="D148" t="s">
        <v>14</v>
      </c>
      <c r="E148" t="s">
        <v>27</v>
      </c>
      <c r="F148" s="6">
        <v>45908</v>
      </c>
      <c r="G148" t="s">
        <v>23</v>
      </c>
      <c r="H148">
        <v>37375.550000000003</v>
      </c>
      <c r="I148">
        <f t="shared" si="10"/>
        <v>8222.621000000001</v>
      </c>
      <c r="J148">
        <v>35250.530983007018</v>
      </c>
      <c r="K148">
        <f t="shared" si="11"/>
        <v>7755.116816261544</v>
      </c>
      <c r="L148" s="9">
        <f t="shared" si="12"/>
        <v>6.0283319363824035E-2</v>
      </c>
      <c r="M148" t="str">
        <f t="shared" si="13"/>
        <v>Complete Data</v>
      </c>
      <c r="N148" t="str">
        <f t="shared" si="14"/>
        <v>Non-compliant</v>
      </c>
    </row>
    <row r="149" spans="1:14">
      <c r="A149" t="s">
        <v>12</v>
      </c>
      <c r="B149" t="s">
        <v>11</v>
      </c>
      <c r="C149" t="s">
        <v>14</v>
      </c>
      <c r="D149" t="s">
        <v>13</v>
      </c>
      <c r="E149" t="s">
        <v>22</v>
      </c>
      <c r="F149" s="6">
        <v>45954</v>
      </c>
      <c r="G149" t="s">
        <v>23</v>
      </c>
      <c r="H149">
        <v>124643.06</v>
      </c>
      <c r="I149">
        <f t="shared" si="10"/>
        <v>27421.4732</v>
      </c>
      <c r="J149">
        <v>118146.44689585541</v>
      </c>
      <c r="K149">
        <f t="shared" si="11"/>
        <v>25992.218317088191</v>
      </c>
      <c r="L149" s="9">
        <f t="shared" si="12"/>
        <v>5.4987799251138468E-2</v>
      </c>
      <c r="M149" t="str">
        <f t="shared" si="13"/>
        <v>Complete Data</v>
      </c>
      <c r="N149" t="str">
        <f t="shared" si="14"/>
        <v>Compliant</v>
      </c>
    </row>
    <row r="150" spans="1:14">
      <c r="A150" t="s">
        <v>25</v>
      </c>
      <c r="B150" t="s">
        <v>19</v>
      </c>
      <c r="C150" t="s">
        <v>26</v>
      </c>
      <c r="D150" t="s">
        <v>21</v>
      </c>
      <c r="E150" t="s">
        <v>22</v>
      </c>
      <c r="F150" s="6">
        <v>45966</v>
      </c>
      <c r="G150" t="s">
        <v>24</v>
      </c>
      <c r="H150">
        <v>107159.75</v>
      </c>
      <c r="I150">
        <f t="shared" si="10"/>
        <v>96443.775000000009</v>
      </c>
      <c r="K150" t="str">
        <f t="shared" si="11"/>
        <v/>
      </c>
      <c r="L150" s="9" t="str">
        <f t="shared" si="12"/>
        <v/>
      </c>
      <c r="M150" t="str">
        <f t="shared" si="13"/>
        <v>Missing Cost Base, Margin not calculable</v>
      </c>
      <c r="N150" t="str">
        <f t="shared" si="14"/>
        <v>Unknown</v>
      </c>
    </row>
    <row r="151" spans="1:14">
      <c r="A151" t="s">
        <v>18</v>
      </c>
      <c r="B151" t="s">
        <v>25</v>
      </c>
      <c r="C151" t="s">
        <v>20</v>
      </c>
      <c r="D151" t="s">
        <v>26</v>
      </c>
      <c r="E151" t="s">
        <v>27</v>
      </c>
      <c r="F151" s="6">
        <v>45676</v>
      </c>
      <c r="G151" t="s">
        <v>16</v>
      </c>
      <c r="H151">
        <v>174860.17</v>
      </c>
      <c r="I151">
        <f t="shared" si="10"/>
        <v>174860.17</v>
      </c>
      <c r="J151">
        <v>161971.22877710339</v>
      </c>
      <c r="K151">
        <f t="shared" si="11"/>
        <v>161971.22877710339</v>
      </c>
      <c r="L151" s="9">
        <f t="shared" si="12"/>
        <v>7.9575498193162036E-2</v>
      </c>
      <c r="M151" t="str">
        <f t="shared" si="13"/>
        <v>Complete Data</v>
      </c>
      <c r="N151" t="str">
        <f t="shared" si="14"/>
        <v>Non-compliant</v>
      </c>
    </row>
    <row r="152" spans="1:14">
      <c r="A152" t="s">
        <v>11</v>
      </c>
      <c r="B152" t="s">
        <v>18</v>
      </c>
      <c r="C152" t="s">
        <v>13</v>
      </c>
      <c r="D152" t="s">
        <v>20</v>
      </c>
      <c r="E152" t="s">
        <v>27</v>
      </c>
      <c r="F152" s="6">
        <v>45915</v>
      </c>
      <c r="G152" t="s">
        <v>24</v>
      </c>
      <c r="H152">
        <v>31248.2</v>
      </c>
      <c r="I152">
        <f t="shared" si="10"/>
        <v>28123.38</v>
      </c>
      <c r="J152">
        <v>24921.30042568074</v>
      </c>
      <c r="K152">
        <f t="shared" si="11"/>
        <v>22429.170383112665</v>
      </c>
      <c r="L152" s="9">
        <f t="shared" si="12"/>
        <v>0.25387517770940876</v>
      </c>
      <c r="M152" t="str">
        <f t="shared" si="13"/>
        <v>Complete Data</v>
      </c>
      <c r="N152" t="str">
        <f t="shared" si="14"/>
        <v>Non-compliant</v>
      </c>
    </row>
    <row r="153" spans="1:14">
      <c r="A153" t="s">
        <v>11</v>
      </c>
      <c r="B153" t="s">
        <v>12</v>
      </c>
      <c r="C153" t="s">
        <v>13</v>
      </c>
      <c r="D153" t="s">
        <v>14</v>
      </c>
      <c r="E153" t="s">
        <v>22</v>
      </c>
      <c r="F153" s="6">
        <v>45837</v>
      </c>
      <c r="G153" t="s">
        <v>16</v>
      </c>
      <c r="H153">
        <v>53410.94</v>
      </c>
      <c r="I153">
        <f t="shared" si="10"/>
        <v>53410.94</v>
      </c>
      <c r="J153">
        <v>36673.783095480358</v>
      </c>
      <c r="K153">
        <f t="shared" si="11"/>
        <v>36673.783095480358</v>
      </c>
      <c r="L153" s="9">
        <f t="shared" si="12"/>
        <v>0.45637933945740972</v>
      </c>
      <c r="M153" t="str">
        <f t="shared" si="13"/>
        <v>Complete Data</v>
      </c>
      <c r="N153" t="str">
        <f t="shared" si="14"/>
        <v>Non-compliant</v>
      </c>
    </row>
    <row r="154" spans="1:14">
      <c r="A154" t="s">
        <v>19</v>
      </c>
      <c r="B154" t="s">
        <v>18</v>
      </c>
      <c r="C154" t="s">
        <v>21</v>
      </c>
      <c r="D154" t="s">
        <v>20</v>
      </c>
      <c r="E154" t="s">
        <v>22</v>
      </c>
      <c r="F154" s="6">
        <v>45735</v>
      </c>
      <c r="G154" t="s">
        <v>24</v>
      </c>
      <c r="H154">
        <v>125073.85</v>
      </c>
      <c r="I154">
        <f t="shared" si="10"/>
        <v>112566.46500000001</v>
      </c>
      <c r="J154">
        <v>76624.166771525095</v>
      </c>
      <c r="K154">
        <f t="shared" si="11"/>
        <v>68961.75009437259</v>
      </c>
      <c r="L154" s="9">
        <f t="shared" si="12"/>
        <v>0.63230290481252804</v>
      </c>
      <c r="M154" t="str">
        <f t="shared" si="13"/>
        <v>Complete Data</v>
      </c>
      <c r="N154" t="str">
        <f t="shared" si="14"/>
        <v>Non-compliant</v>
      </c>
    </row>
    <row r="155" spans="1:14">
      <c r="A155" t="s">
        <v>12</v>
      </c>
      <c r="B155" t="s">
        <v>25</v>
      </c>
      <c r="C155" t="s">
        <v>14</v>
      </c>
      <c r="D155" t="s">
        <v>26</v>
      </c>
      <c r="E155" t="s">
        <v>22</v>
      </c>
      <c r="F155" s="6">
        <v>45712</v>
      </c>
      <c r="G155" t="s">
        <v>23</v>
      </c>
      <c r="H155">
        <v>48172.36</v>
      </c>
      <c r="I155">
        <f t="shared" si="10"/>
        <v>10597.9192</v>
      </c>
      <c r="K155" t="str">
        <f t="shared" si="11"/>
        <v/>
      </c>
      <c r="L155" s="9" t="str">
        <f t="shared" si="12"/>
        <v/>
      </c>
      <c r="M155" t="str">
        <f t="shared" si="13"/>
        <v>Missing Cost Base, Margin not calculable</v>
      </c>
      <c r="N155" t="str">
        <f t="shared" si="14"/>
        <v>Unknown</v>
      </c>
    </row>
    <row r="156" spans="1:14">
      <c r="A156" t="s">
        <v>18</v>
      </c>
      <c r="B156" t="s">
        <v>25</v>
      </c>
      <c r="C156" t="s">
        <v>20</v>
      </c>
      <c r="D156" t="s">
        <v>26</v>
      </c>
      <c r="E156" t="s">
        <v>27</v>
      </c>
      <c r="F156" s="6">
        <v>45988</v>
      </c>
      <c r="G156" t="s">
        <v>16</v>
      </c>
      <c r="H156">
        <v>136539.98000000001</v>
      </c>
      <c r="I156">
        <f t="shared" si="10"/>
        <v>136539.98000000001</v>
      </c>
      <c r="J156">
        <v>91846.209298562855</v>
      </c>
      <c r="K156">
        <f t="shared" si="11"/>
        <v>91846.209298562855</v>
      </c>
      <c r="L156" s="9">
        <f t="shared" si="12"/>
        <v>0.48661530010620146</v>
      </c>
      <c r="M156" t="str">
        <f t="shared" si="13"/>
        <v>Complete Data</v>
      </c>
      <c r="N156" t="str">
        <f t="shared" si="14"/>
        <v>Non-compliant</v>
      </c>
    </row>
    <row r="157" spans="1:14">
      <c r="A157" t="s">
        <v>11</v>
      </c>
      <c r="B157" t="s">
        <v>19</v>
      </c>
      <c r="C157" t="s">
        <v>13</v>
      </c>
      <c r="D157" t="s">
        <v>21</v>
      </c>
      <c r="E157" t="s">
        <v>27</v>
      </c>
      <c r="F157" s="6">
        <v>45804</v>
      </c>
      <c r="G157" t="s">
        <v>24</v>
      </c>
      <c r="H157">
        <v>64381.01</v>
      </c>
      <c r="I157">
        <f t="shared" si="10"/>
        <v>57942.909</v>
      </c>
      <c r="J157">
        <v>54538.320896414407</v>
      </c>
      <c r="K157">
        <f t="shared" si="11"/>
        <v>49084.48880677297</v>
      </c>
      <c r="L157" s="9">
        <f t="shared" si="12"/>
        <v>0.18047290312219147</v>
      </c>
      <c r="M157" t="str">
        <f t="shared" si="13"/>
        <v>Complete Data</v>
      </c>
      <c r="N157" t="str">
        <f t="shared" si="14"/>
        <v>Non-compliant</v>
      </c>
    </row>
    <row r="158" spans="1:14">
      <c r="A158" t="s">
        <v>25</v>
      </c>
      <c r="B158" t="s">
        <v>18</v>
      </c>
      <c r="C158" t="s">
        <v>26</v>
      </c>
      <c r="D158" t="s">
        <v>20</v>
      </c>
      <c r="E158" t="s">
        <v>27</v>
      </c>
      <c r="F158" s="6">
        <v>45915</v>
      </c>
      <c r="G158" t="s">
        <v>24</v>
      </c>
      <c r="H158">
        <v>187316.15</v>
      </c>
      <c r="I158">
        <f t="shared" si="10"/>
        <v>168584.535</v>
      </c>
      <c r="J158">
        <v>134946.82840927609</v>
      </c>
      <c r="K158">
        <f t="shared" si="11"/>
        <v>121452.14556834848</v>
      </c>
      <c r="L158" s="9">
        <f t="shared" si="12"/>
        <v>0.38807374880938</v>
      </c>
      <c r="M158" t="str">
        <f t="shared" si="13"/>
        <v>Complete Data</v>
      </c>
      <c r="N158" t="str">
        <f t="shared" si="14"/>
        <v>Non-compliant</v>
      </c>
    </row>
    <row r="159" spans="1:14">
      <c r="A159" t="s">
        <v>11</v>
      </c>
      <c r="B159" t="s">
        <v>25</v>
      </c>
      <c r="C159" t="s">
        <v>13</v>
      </c>
      <c r="D159" t="s">
        <v>26</v>
      </c>
      <c r="E159" t="s">
        <v>15</v>
      </c>
      <c r="F159" s="6">
        <v>46012</v>
      </c>
      <c r="G159" t="s">
        <v>23</v>
      </c>
      <c r="H159">
        <v>122186.08</v>
      </c>
      <c r="I159">
        <f t="shared" si="10"/>
        <v>26880.937600000001</v>
      </c>
      <c r="J159">
        <v>85947.985767789884</v>
      </c>
      <c r="K159">
        <f t="shared" si="11"/>
        <v>18908.556868913776</v>
      </c>
      <c r="L159" s="9">
        <f t="shared" si="12"/>
        <v>0.42162819650150313</v>
      </c>
      <c r="M159" t="str">
        <f t="shared" si="13"/>
        <v>Complete Data</v>
      </c>
      <c r="N159" t="str">
        <f t="shared" si="14"/>
        <v>Non-compliant</v>
      </c>
    </row>
    <row r="160" spans="1:14">
      <c r="A160" t="s">
        <v>18</v>
      </c>
      <c r="B160" t="s">
        <v>25</v>
      </c>
      <c r="C160" t="s">
        <v>20</v>
      </c>
      <c r="D160" t="s">
        <v>26</v>
      </c>
      <c r="E160" t="s">
        <v>27</v>
      </c>
      <c r="F160" s="6">
        <v>45717</v>
      </c>
      <c r="G160" t="s">
        <v>24</v>
      </c>
      <c r="H160">
        <v>15947.5</v>
      </c>
      <c r="I160">
        <f t="shared" si="10"/>
        <v>14352.75</v>
      </c>
      <c r="J160">
        <v>11243.439867963119</v>
      </c>
      <c r="K160">
        <f t="shared" si="11"/>
        <v>10119.095881166808</v>
      </c>
      <c r="L160" s="9">
        <f t="shared" si="12"/>
        <v>0.41838264688376686</v>
      </c>
      <c r="M160" t="str">
        <f t="shared" si="13"/>
        <v>Complete Data</v>
      </c>
      <c r="N160" t="str">
        <f t="shared" si="14"/>
        <v>Non-compliant</v>
      </c>
    </row>
    <row r="161" spans="1:14">
      <c r="A161" t="s">
        <v>25</v>
      </c>
      <c r="B161" t="s">
        <v>11</v>
      </c>
      <c r="C161" t="s">
        <v>26</v>
      </c>
      <c r="D161" t="s">
        <v>13</v>
      </c>
      <c r="E161" t="s">
        <v>22</v>
      </c>
      <c r="F161" s="6">
        <v>45665</v>
      </c>
      <c r="G161" t="s">
        <v>16</v>
      </c>
      <c r="H161">
        <v>145589.41</v>
      </c>
      <c r="I161">
        <f t="shared" si="10"/>
        <v>145589.41</v>
      </c>
      <c r="J161">
        <v>124068.5681747115</v>
      </c>
      <c r="K161">
        <f t="shared" si="11"/>
        <v>124068.5681747115</v>
      </c>
      <c r="L161" s="9">
        <f t="shared" si="12"/>
        <v>0.17345925839156276</v>
      </c>
      <c r="M161" t="str">
        <f t="shared" si="13"/>
        <v>Complete Data</v>
      </c>
      <c r="N161" t="str">
        <f t="shared" si="14"/>
        <v>Non-compliant</v>
      </c>
    </row>
    <row r="162" spans="1:14">
      <c r="A162" t="s">
        <v>12</v>
      </c>
      <c r="B162" t="s">
        <v>19</v>
      </c>
      <c r="C162" t="s">
        <v>14</v>
      </c>
      <c r="D162" t="s">
        <v>21</v>
      </c>
      <c r="E162" t="s">
        <v>15</v>
      </c>
      <c r="F162" s="6">
        <v>45710</v>
      </c>
      <c r="G162" t="s">
        <v>24</v>
      </c>
      <c r="H162">
        <v>180553.23</v>
      </c>
      <c r="I162">
        <f t="shared" si="10"/>
        <v>162497.90700000001</v>
      </c>
      <c r="J162">
        <v>158149.78925723341</v>
      </c>
      <c r="K162">
        <f t="shared" si="11"/>
        <v>142334.81033151006</v>
      </c>
      <c r="L162" s="9">
        <f t="shared" si="12"/>
        <v>0.14165963070824597</v>
      </c>
      <c r="M162" t="str">
        <f t="shared" si="13"/>
        <v>Complete Data</v>
      </c>
      <c r="N162" t="str">
        <f t="shared" si="14"/>
        <v>Non-compliant</v>
      </c>
    </row>
    <row r="163" spans="1:14">
      <c r="A163" t="s">
        <v>19</v>
      </c>
      <c r="B163" t="s">
        <v>18</v>
      </c>
      <c r="C163" t="s">
        <v>21</v>
      </c>
      <c r="D163" t="s">
        <v>20</v>
      </c>
      <c r="E163" t="s">
        <v>15</v>
      </c>
      <c r="F163" s="6">
        <v>45675</v>
      </c>
      <c r="G163" t="s">
        <v>23</v>
      </c>
      <c r="H163">
        <v>107941.28</v>
      </c>
      <c r="I163">
        <f t="shared" si="10"/>
        <v>23747.081600000001</v>
      </c>
      <c r="J163">
        <v>72948.446557962277</v>
      </c>
      <c r="K163">
        <f t="shared" si="11"/>
        <v>16048.658242751701</v>
      </c>
      <c r="L163" s="9">
        <f t="shared" si="12"/>
        <v>0.47969264724826804</v>
      </c>
      <c r="M163" t="str">
        <f t="shared" si="13"/>
        <v>Complete Data</v>
      </c>
      <c r="N163" t="str">
        <f t="shared" si="14"/>
        <v>Non-compliant</v>
      </c>
    </row>
    <row r="164" spans="1:14">
      <c r="A164" t="s">
        <v>19</v>
      </c>
      <c r="B164" t="s">
        <v>12</v>
      </c>
      <c r="C164" t="s">
        <v>21</v>
      </c>
      <c r="D164" t="s">
        <v>14</v>
      </c>
      <c r="E164" t="s">
        <v>22</v>
      </c>
      <c r="F164" s="6">
        <v>45919</v>
      </c>
      <c r="G164" t="s">
        <v>16</v>
      </c>
      <c r="H164">
        <v>55946.52</v>
      </c>
      <c r="I164">
        <f t="shared" si="10"/>
        <v>55946.52</v>
      </c>
      <c r="J164">
        <v>47364.143078717163</v>
      </c>
      <c r="K164">
        <f t="shared" si="11"/>
        <v>47364.143078717163</v>
      </c>
      <c r="L164" s="9">
        <f t="shared" si="12"/>
        <v>0.18119987744778351</v>
      </c>
      <c r="M164" t="str">
        <f t="shared" si="13"/>
        <v>Complete Data</v>
      </c>
      <c r="N164" t="str">
        <f t="shared" si="14"/>
        <v>Non-compliant</v>
      </c>
    </row>
    <row r="165" spans="1:14">
      <c r="A165" t="s">
        <v>19</v>
      </c>
      <c r="B165" t="s">
        <v>11</v>
      </c>
      <c r="C165" t="s">
        <v>21</v>
      </c>
      <c r="D165" t="s">
        <v>13</v>
      </c>
      <c r="E165" t="s">
        <v>15</v>
      </c>
      <c r="F165" s="6">
        <v>45687</v>
      </c>
      <c r="G165" t="s">
        <v>23</v>
      </c>
      <c r="H165">
        <v>195654.98</v>
      </c>
      <c r="I165">
        <f t="shared" si="10"/>
        <v>43044.095600000001</v>
      </c>
      <c r="J165">
        <v>133064.77841533159</v>
      </c>
      <c r="K165">
        <f t="shared" si="11"/>
        <v>29274.251251372949</v>
      </c>
      <c r="L165" s="9">
        <f t="shared" si="12"/>
        <v>0.47037392110861426</v>
      </c>
      <c r="M165" t="str">
        <f t="shared" si="13"/>
        <v>Complete Data</v>
      </c>
      <c r="N165" t="str">
        <f t="shared" si="14"/>
        <v>Non-compliant</v>
      </c>
    </row>
    <row r="166" spans="1:14">
      <c r="A166" t="s">
        <v>25</v>
      </c>
      <c r="B166" t="s">
        <v>18</v>
      </c>
      <c r="C166" t="s">
        <v>26</v>
      </c>
      <c r="D166" t="s">
        <v>20</v>
      </c>
      <c r="E166" t="s">
        <v>15</v>
      </c>
      <c r="F166" s="6">
        <v>45762</v>
      </c>
      <c r="G166" t="s">
        <v>24</v>
      </c>
      <c r="H166">
        <v>157203.26</v>
      </c>
      <c r="I166">
        <f t="shared" si="10"/>
        <v>141482.93400000001</v>
      </c>
      <c r="J166">
        <v>128061.5365331575</v>
      </c>
      <c r="K166">
        <f t="shared" si="11"/>
        <v>115255.38287984175</v>
      </c>
      <c r="L166" s="9">
        <f t="shared" si="12"/>
        <v>0.22756031401588855</v>
      </c>
      <c r="M166" t="str">
        <f t="shared" si="13"/>
        <v>Complete Data</v>
      </c>
      <c r="N166" t="str">
        <f t="shared" si="14"/>
        <v>Non-compliant</v>
      </c>
    </row>
    <row r="167" spans="1:14">
      <c r="A167" t="s">
        <v>11</v>
      </c>
      <c r="B167" t="s">
        <v>25</v>
      </c>
      <c r="C167" t="s">
        <v>13</v>
      </c>
      <c r="D167" t="s">
        <v>26</v>
      </c>
      <c r="E167" t="s">
        <v>15</v>
      </c>
      <c r="F167" s="6">
        <v>45668</v>
      </c>
      <c r="G167" t="s">
        <v>16</v>
      </c>
      <c r="H167">
        <v>156104.85</v>
      </c>
      <c r="I167">
        <f t="shared" si="10"/>
        <v>156104.85</v>
      </c>
      <c r="K167" t="str">
        <f t="shared" si="11"/>
        <v/>
      </c>
      <c r="L167" s="9" t="str">
        <f t="shared" si="12"/>
        <v/>
      </c>
      <c r="M167" t="str">
        <f t="shared" si="13"/>
        <v>Missing Cost Base, Margin not calculable</v>
      </c>
      <c r="N167" t="str">
        <f t="shared" si="14"/>
        <v>Unknown</v>
      </c>
    </row>
    <row r="168" spans="1:14">
      <c r="A168" t="s">
        <v>12</v>
      </c>
      <c r="B168" t="s">
        <v>25</v>
      </c>
      <c r="C168" t="s">
        <v>14</v>
      </c>
      <c r="D168" t="s">
        <v>26</v>
      </c>
      <c r="E168" t="s">
        <v>15</v>
      </c>
      <c r="F168" s="6">
        <v>46005</v>
      </c>
      <c r="G168" t="s">
        <v>23</v>
      </c>
      <c r="H168">
        <v>39839.94</v>
      </c>
      <c r="I168">
        <f t="shared" si="10"/>
        <v>8764.7867999999999</v>
      </c>
      <c r="K168" t="str">
        <f t="shared" si="11"/>
        <v/>
      </c>
      <c r="L168" s="9" t="str">
        <f t="shared" si="12"/>
        <v/>
      </c>
      <c r="M168" t="str">
        <f t="shared" si="13"/>
        <v>Missing Cost Base, Margin not calculable</v>
      </c>
      <c r="N168" t="str">
        <f t="shared" si="14"/>
        <v>Unknown</v>
      </c>
    </row>
    <row r="169" spans="1:14">
      <c r="A169" t="s">
        <v>18</v>
      </c>
      <c r="B169" t="s">
        <v>19</v>
      </c>
      <c r="C169" t="s">
        <v>20</v>
      </c>
      <c r="D169" t="s">
        <v>21</v>
      </c>
      <c r="E169" t="s">
        <v>22</v>
      </c>
      <c r="F169" s="6">
        <v>45764</v>
      </c>
      <c r="G169" t="s">
        <v>24</v>
      </c>
      <c r="H169">
        <v>94185.24</v>
      </c>
      <c r="I169">
        <f t="shared" si="10"/>
        <v>84766.716</v>
      </c>
      <c r="J169">
        <v>67907.048254046123</v>
      </c>
      <c r="K169">
        <f t="shared" si="11"/>
        <v>61116.343428641514</v>
      </c>
      <c r="L169" s="9">
        <f t="shared" si="12"/>
        <v>0.38697296409711246</v>
      </c>
      <c r="M169" t="str">
        <f t="shared" si="13"/>
        <v>Complete Data</v>
      </c>
      <c r="N169" t="str">
        <f t="shared" si="14"/>
        <v>Non-compliant</v>
      </c>
    </row>
    <row r="170" spans="1:14">
      <c r="A170" t="s">
        <v>12</v>
      </c>
      <c r="B170" t="s">
        <v>18</v>
      </c>
      <c r="C170" t="s">
        <v>14</v>
      </c>
      <c r="D170" t="s">
        <v>20</v>
      </c>
      <c r="E170" t="s">
        <v>27</v>
      </c>
      <c r="F170" s="6">
        <v>45735</v>
      </c>
      <c r="G170" t="s">
        <v>16</v>
      </c>
      <c r="H170">
        <v>66379.31</v>
      </c>
      <c r="I170">
        <f t="shared" si="10"/>
        <v>66379.31</v>
      </c>
      <c r="J170">
        <v>58052.695764326098</v>
      </c>
      <c r="K170">
        <f t="shared" si="11"/>
        <v>58052.695764326098</v>
      </c>
      <c r="L170" s="9">
        <f t="shared" si="12"/>
        <v>0.14343199960045058</v>
      </c>
      <c r="M170" t="str">
        <f t="shared" si="13"/>
        <v>Complete Data</v>
      </c>
      <c r="N170" t="str">
        <f t="shared" si="14"/>
        <v>Compliant</v>
      </c>
    </row>
    <row r="171" spans="1:14">
      <c r="A171" t="s">
        <v>19</v>
      </c>
      <c r="B171" t="s">
        <v>25</v>
      </c>
      <c r="C171" t="s">
        <v>21</v>
      </c>
      <c r="D171" t="s">
        <v>26</v>
      </c>
      <c r="E171" t="s">
        <v>15</v>
      </c>
      <c r="F171" s="6">
        <v>45863</v>
      </c>
      <c r="G171" t="s">
        <v>24</v>
      </c>
      <c r="H171">
        <v>89431.39</v>
      </c>
      <c r="I171">
        <f t="shared" si="10"/>
        <v>80488.251000000004</v>
      </c>
      <c r="J171">
        <v>69456.460920551384</v>
      </c>
      <c r="K171">
        <f t="shared" si="11"/>
        <v>62510.814828496244</v>
      </c>
      <c r="L171" s="9">
        <f t="shared" si="12"/>
        <v>0.28758921509544211</v>
      </c>
      <c r="M171" t="str">
        <f t="shared" si="13"/>
        <v>Complete Data</v>
      </c>
      <c r="N171" t="str">
        <f t="shared" si="14"/>
        <v>Non-compliant</v>
      </c>
    </row>
    <row r="172" spans="1:14">
      <c r="A172" t="s">
        <v>19</v>
      </c>
      <c r="B172" t="s">
        <v>12</v>
      </c>
      <c r="C172" t="s">
        <v>21</v>
      </c>
      <c r="D172" t="s">
        <v>14</v>
      </c>
      <c r="E172" t="s">
        <v>15</v>
      </c>
      <c r="F172" s="6">
        <v>45727</v>
      </c>
      <c r="G172" t="s">
        <v>16</v>
      </c>
      <c r="H172">
        <v>116788.09</v>
      </c>
      <c r="I172">
        <f t="shared" si="10"/>
        <v>116788.09</v>
      </c>
      <c r="K172" t="str">
        <f t="shared" si="11"/>
        <v/>
      </c>
      <c r="L172" s="9" t="str">
        <f t="shared" si="12"/>
        <v/>
      </c>
      <c r="M172" t="str">
        <f t="shared" si="13"/>
        <v>Missing Cost Base, Margin not calculable</v>
      </c>
      <c r="N172" t="str">
        <f t="shared" si="14"/>
        <v>Unknown</v>
      </c>
    </row>
    <row r="173" spans="1:14">
      <c r="A173" t="s">
        <v>12</v>
      </c>
      <c r="B173" t="s">
        <v>19</v>
      </c>
      <c r="C173" t="s">
        <v>14</v>
      </c>
      <c r="D173" t="s">
        <v>21</v>
      </c>
      <c r="E173" t="s">
        <v>22</v>
      </c>
      <c r="F173" s="6">
        <v>45726</v>
      </c>
      <c r="G173" t="s">
        <v>24</v>
      </c>
      <c r="H173">
        <v>110350.88</v>
      </c>
      <c r="I173">
        <f t="shared" si="10"/>
        <v>99315.792000000001</v>
      </c>
      <c r="J173">
        <v>66516.917954148827</v>
      </c>
      <c r="K173">
        <f t="shared" si="11"/>
        <v>59865.226158733945</v>
      </c>
      <c r="L173" s="9">
        <f t="shared" si="12"/>
        <v>0.65898967351533966</v>
      </c>
      <c r="M173" t="str">
        <f t="shared" si="13"/>
        <v>Complete Data</v>
      </c>
      <c r="N173" t="str">
        <f t="shared" si="14"/>
        <v>Non-compliant</v>
      </c>
    </row>
    <row r="174" spans="1:14">
      <c r="A174" t="s">
        <v>25</v>
      </c>
      <c r="B174" t="s">
        <v>18</v>
      </c>
      <c r="C174" t="s">
        <v>26</v>
      </c>
      <c r="D174" t="s">
        <v>20</v>
      </c>
      <c r="E174" t="s">
        <v>27</v>
      </c>
      <c r="F174" s="6">
        <v>45965</v>
      </c>
      <c r="G174" t="s">
        <v>23</v>
      </c>
      <c r="H174">
        <v>172693.09</v>
      </c>
      <c r="I174">
        <f t="shared" si="10"/>
        <v>37992.479800000001</v>
      </c>
      <c r="J174">
        <v>139123.73878312751</v>
      </c>
      <c r="K174">
        <f t="shared" si="11"/>
        <v>30607.222532288051</v>
      </c>
      <c r="L174" s="9">
        <f t="shared" si="12"/>
        <v>0.2412913246185969</v>
      </c>
      <c r="M174" t="str">
        <f t="shared" si="13"/>
        <v>Complete Data</v>
      </c>
      <c r="N174" t="str">
        <f t="shared" si="14"/>
        <v>Non-compliant</v>
      </c>
    </row>
    <row r="175" spans="1:14">
      <c r="A175" t="s">
        <v>25</v>
      </c>
      <c r="B175" t="s">
        <v>12</v>
      </c>
      <c r="C175" t="s">
        <v>26</v>
      </c>
      <c r="D175" t="s">
        <v>14</v>
      </c>
      <c r="E175" t="s">
        <v>15</v>
      </c>
      <c r="F175" s="6">
        <v>45886</v>
      </c>
      <c r="G175" t="s">
        <v>16</v>
      </c>
      <c r="H175">
        <v>179714.14</v>
      </c>
      <c r="I175">
        <f t="shared" si="10"/>
        <v>179714.14</v>
      </c>
      <c r="J175">
        <v>150818.39136375039</v>
      </c>
      <c r="K175">
        <f t="shared" si="11"/>
        <v>150818.39136375039</v>
      </c>
      <c r="L175" s="9">
        <f t="shared" si="12"/>
        <v>0.19159300384365988</v>
      </c>
      <c r="M175" t="str">
        <f t="shared" si="13"/>
        <v>Complete Data</v>
      </c>
      <c r="N175" t="str">
        <f t="shared" si="14"/>
        <v>Non-compliant</v>
      </c>
    </row>
    <row r="176" spans="1:14">
      <c r="A176" t="s">
        <v>18</v>
      </c>
      <c r="B176" t="s">
        <v>12</v>
      </c>
      <c r="C176" t="s">
        <v>20</v>
      </c>
      <c r="D176" t="s">
        <v>14</v>
      </c>
      <c r="E176" t="s">
        <v>15</v>
      </c>
      <c r="F176" s="6">
        <v>45900</v>
      </c>
      <c r="G176" t="s">
        <v>24</v>
      </c>
      <c r="H176">
        <v>193172.84</v>
      </c>
      <c r="I176">
        <f t="shared" si="10"/>
        <v>173855.55600000001</v>
      </c>
      <c r="K176" t="str">
        <f t="shared" si="11"/>
        <v/>
      </c>
      <c r="L176" s="9" t="str">
        <f t="shared" si="12"/>
        <v/>
      </c>
      <c r="M176" t="str">
        <f t="shared" si="13"/>
        <v>Missing Cost Base, Margin not calculable</v>
      </c>
      <c r="N176" t="str">
        <f t="shared" si="14"/>
        <v>Unknown</v>
      </c>
    </row>
    <row r="177" spans="1:14">
      <c r="A177" t="s">
        <v>25</v>
      </c>
      <c r="B177" t="s">
        <v>19</v>
      </c>
      <c r="C177" t="s">
        <v>26</v>
      </c>
      <c r="D177" t="s">
        <v>21</v>
      </c>
      <c r="E177" t="s">
        <v>15</v>
      </c>
      <c r="F177" s="6">
        <v>45908</v>
      </c>
      <c r="G177" t="s">
        <v>24</v>
      </c>
      <c r="H177">
        <v>159942.78</v>
      </c>
      <c r="I177">
        <f t="shared" si="10"/>
        <v>143948.50200000001</v>
      </c>
      <c r="J177">
        <v>139509.60473266779</v>
      </c>
      <c r="K177">
        <f t="shared" si="11"/>
        <v>125558.64425940102</v>
      </c>
      <c r="L177" s="9">
        <f t="shared" si="12"/>
        <v>0.14646429044428041</v>
      </c>
      <c r="M177" t="str">
        <f t="shared" si="13"/>
        <v>Complete Data</v>
      </c>
      <c r="N177" t="str">
        <f t="shared" si="14"/>
        <v>Non-compliant</v>
      </c>
    </row>
    <row r="178" spans="1:14">
      <c r="A178" t="s">
        <v>19</v>
      </c>
      <c r="B178" t="s">
        <v>18</v>
      </c>
      <c r="C178" t="s">
        <v>21</v>
      </c>
      <c r="D178" t="s">
        <v>20</v>
      </c>
      <c r="E178" t="s">
        <v>22</v>
      </c>
      <c r="F178" s="6">
        <v>45824</v>
      </c>
      <c r="G178" t="s">
        <v>23</v>
      </c>
      <c r="H178">
        <v>33022.800000000003</v>
      </c>
      <c r="I178">
        <f t="shared" si="10"/>
        <v>7265.0160000000005</v>
      </c>
      <c r="J178">
        <v>29621.172782766938</v>
      </c>
      <c r="K178">
        <f t="shared" si="11"/>
        <v>6516.6580122087262</v>
      </c>
      <c r="L178" s="9">
        <f t="shared" si="12"/>
        <v>0.11483769539375127</v>
      </c>
      <c r="M178" t="str">
        <f t="shared" si="13"/>
        <v>Complete Data</v>
      </c>
      <c r="N178" t="str">
        <f t="shared" si="14"/>
        <v>Non-compliant</v>
      </c>
    </row>
    <row r="179" spans="1:14">
      <c r="A179" t="s">
        <v>25</v>
      </c>
      <c r="B179" t="s">
        <v>18</v>
      </c>
      <c r="C179" t="s">
        <v>26</v>
      </c>
      <c r="D179" t="s">
        <v>20</v>
      </c>
      <c r="E179" t="s">
        <v>22</v>
      </c>
      <c r="F179" s="6">
        <v>45899</v>
      </c>
      <c r="G179" t="s">
        <v>24</v>
      </c>
      <c r="H179">
        <v>78142.75</v>
      </c>
      <c r="I179">
        <f t="shared" si="10"/>
        <v>70328.475000000006</v>
      </c>
      <c r="J179">
        <v>68570.223060579956</v>
      </c>
      <c r="K179">
        <f t="shared" si="11"/>
        <v>61713.20075452196</v>
      </c>
      <c r="L179" s="9">
        <f t="shared" si="12"/>
        <v>0.13960180545078554</v>
      </c>
      <c r="M179" t="str">
        <f t="shared" si="13"/>
        <v>Complete Data</v>
      </c>
      <c r="N179" t="str">
        <f t="shared" si="14"/>
        <v>Non-compliant</v>
      </c>
    </row>
    <row r="180" spans="1:14">
      <c r="A180" t="s">
        <v>11</v>
      </c>
      <c r="B180" t="s">
        <v>18</v>
      </c>
      <c r="C180" t="s">
        <v>13</v>
      </c>
      <c r="D180" t="s">
        <v>20</v>
      </c>
      <c r="E180" t="s">
        <v>15</v>
      </c>
      <c r="F180" s="6">
        <v>45860</v>
      </c>
      <c r="G180" t="s">
        <v>16</v>
      </c>
      <c r="H180">
        <v>11083.34</v>
      </c>
      <c r="I180">
        <f t="shared" si="10"/>
        <v>11083.34</v>
      </c>
      <c r="J180">
        <v>6992.1726868606274</v>
      </c>
      <c r="K180">
        <f t="shared" si="11"/>
        <v>6992.1726868606274</v>
      </c>
      <c r="L180" s="9">
        <f t="shared" si="12"/>
        <v>0.58510673239339583</v>
      </c>
      <c r="M180" t="str">
        <f t="shared" si="13"/>
        <v>Complete Data</v>
      </c>
      <c r="N180" t="str">
        <f t="shared" si="14"/>
        <v>Non-compliant</v>
      </c>
    </row>
    <row r="181" spans="1:14">
      <c r="A181" t="s">
        <v>18</v>
      </c>
      <c r="B181" t="s">
        <v>25</v>
      </c>
      <c r="C181" t="s">
        <v>20</v>
      </c>
      <c r="D181" t="s">
        <v>26</v>
      </c>
      <c r="E181" t="s">
        <v>27</v>
      </c>
      <c r="F181" s="6">
        <v>45877</v>
      </c>
      <c r="G181" t="s">
        <v>24</v>
      </c>
      <c r="H181">
        <v>178235.35</v>
      </c>
      <c r="I181">
        <f t="shared" si="10"/>
        <v>160411.815</v>
      </c>
      <c r="J181">
        <v>134771.06053646989</v>
      </c>
      <c r="K181">
        <f t="shared" si="11"/>
        <v>121293.9544828229</v>
      </c>
      <c r="L181" s="9">
        <f t="shared" si="12"/>
        <v>0.32250461850278611</v>
      </c>
      <c r="M181" t="str">
        <f t="shared" si="13"/>
        <v>Complete Data</v>
      </c>
      <c r="N181" t="str">
        <f t="shared" si="14"/>
        <v>Non-compliant</v>
      </c>
    </row>
    <row r="182" spans="1:14">
      <c r="A182" t="s">
        <v>18</v>
      </c>
      <c r="B182" t="s">
        <v>19</v>
      </c>
      <c r="C182" t="s">
        <v>20</v>
      </c>
      <c r="D182" t="s">
        <v>21</v>
      </c>
      <c r="E182" t="s">
        <v>27</v>
      </c>
      <c r="F182" s="6">
        <v>45832</v>
      </c>
      <c r="G182" t="s">
        <v>24</v>
      </c>
      <c r="H182">
        <v>138078.47</v>
      </c>
      <c r="I182">
        <f t="shared" si="10"/>
        <v>124270.62300000001</v>
      </c>
      <c r="J182">
        <v>128201.5323125991</v>
      </c>
      <c r="K182">
        <f t="shared" si="11"/>
        <v>115381.3790813392</v>
      </c>
      <c r="L182" s="9">
        <f t="shared" si="12"/>
        <v>7.7042274840503105E-2</v>
      </c>
      <c r="M182" t="str">
        <f t="shared" si="13"/>
        <v>Complete Data</v>
      </c>
      <c r="N182" t="str">
        <f t="shared" si="14"/>
        <v>Non-compliant</v>
      </c>
    </row>
    <row r="183" spans="1:14">
      <c r="A183" t="s">
        <v>18</v>
      </c>
      <c r="B183" t="s">
        <v>12</v>
      </c>
      <c r="C183" t="s">
        <v>20</v>
      </c>
      <c r="D183" t="s">
        <v>14</v>
      </c>
      <c r="E183" t="s">
        <v>15</v>
      </c>
      <c r="F183" s="6">
        <v>45763</v>
      </c>
      <c r="G183" t="s">
        <v>16</v>
      </c>
      <c r="H183">
        <v>155475.85999999999</v>
      </c>
      <c r="I183">
        <f t="shared" si="10"/>
        <v>155475.85999999999</v>
      </c>
      <c r="J183">
        <v>134054.25995976079</v>
      </c>
      <c r="K183">
        <f t="shared" si="11"/>
        <v>134054.25995976079</v>
      </c>
      <c r="L183" s="9">
        <f t="shared" si="12"/>
        <v>0.15979798065849857</v>
      </c>
      <c r="M183" t="str">
        <f t="shared" si="13"/>
        <v>Complete Data</v>
      </c>
      <c r="N183" t="str">
        <f t="shared" si="14"/>
        <v>Non-compliant</v>
      </c>
    </row>
    <row r="184" spans="1:14">
      <c r="A184" t="s">
        <v>25</v>
      </c>
      <c r="B184" t="s">
        <v>12</v>
      </c>
      <c r="C184" t="s">
        <v>26</v>
      </c>
      <c r="D184" t="s">
        <v>14</v>
      </c>
      <c r="E184" t="s">
        <v>27</v>
      </c>
      <c r="F184" s="6">
        <v>45784</v>
      </c>
      <c r="G184" t="s">
        <v>23</v>
      </c>
      <c r="H184">
        <v>87806.58</v>
      </c>
      <c r="I184">
        <f t="shared" si="10"/>
        <v>19317.4476</v>
      </c>
      <c r="K184" t="str">
        <f t="shared" si="11"/>
        <v/>
      </c>
      <c r="L184" s="9" t="str">
        <f t="shared" si="12"/>
        <v/>
      </c>
      <c r="M184" t="str">
        <f t="shared" si="13"/>
        <v>Missing Cost Base, Margin not calculable</v>
      </c>
      <c r="N184" t="str">
        <f t="shared" si="14"/>
        <v>Unknown</v>
      </c>
    </row>
    <row r="185" spans="1:14">
      <c r="A185" t="s">
        <v>12</v>
      </c>
      <c r="B185" t="s">
        <v>18</v>
      </c>
      <c r="C185" t="s">
        <v>14</v>
      </c>
      <c r="D185" t="s">
        <v>20</v>
      </c>
      <c r="E185" t="s">
        <v>22</v>
      </c>
      <c r="F185" s="6">
        <v>45704</v>
      </c>
      <c r="G185" t="s">
        <v>23</v>
      </c>
      <c r="H185">
        <v>38138.44</v>
      </c>
      <c r="I185">
        <f t="shared" si="10"/>
        <v>8390.4567999999999</v>
      </c>
      <c r="J185">
        <v>25338.55805263478</v>
      </c>
      <c r="K185">
        <f t="shared" si="11"/>
        <v>5574.4827715796519</v>
      </c>
      <c r="L185" s="9">
        <f t="shared" si="12"/>
        <v>0.50515431544196521</v>
      </c>
      <c r="M185" t="str">
        <f t="shared" si="13"/>
        <v>Complete Data</v>
      </c>
      <c r="N185" t="str">
        <f t="shared" si="14"/>
        <v>Non-compliant</v>
      </c>
    </row>
    <row r="186" spans="1:14">
      <c r="A186" t="s">
        <v>18</v>
      </c>
      <c r="B186" t="s">
        <v>12</v>
      </c>
      <c r="C186" t="s">
        <v>20</v>
      </c>
      <c r="D186" t="s">
        <v>14</v>
      </c>
      <c r="E186" t="s">
        <v>22</v>
      </c>
      <c r="F186" s="6">
        <v>46008</v>
      </c>
      <c r="G186" t="s">
        <v>24</v>
      </c>
      <c r="H186">
        <v>36494.6</v>
      </c>
      <c r="I186">
        <f t="shared" si="10"/>
        <v>32845.14</v>
      </c>
      <c r="J186">
        <v>32119.49181184901</v>
      </c>
      <c r="K186">
        <f t="shared" si="11"/>
        <v>28907.542630664109</v>
      </c>
      <c r="L186" s="9">
        <f t="shared" si="12"/>
        <v>0.1362134934693143</v>
      </c>
      <c r="M186" t="str">
        <f t="shared" si="13"/>
        <v>Complete Data</v>
      </c>
      <c r="N186" t="str">
        <f t="shared" si="14"/>
        <v>Non-compliant</v>
      </c>
    </row>
    <row r="187" spans="1:14">
      <c r="A187" t="s">
        <v>19</v>
      </c>
      <c r="B187" t="s">
        <v>25</v>
      </c>
      <c r="C187" t="s">
        <v>21</v>
      </c>
      <c r="D187" t="s">
        <v>26</v>
      </c>
      <c r="E187" t="s">
        <v>27</v>
      </c>
      <c r="F187" s="6">
        <v>45793</v>
      </c>
      <c r="G187" t="s">
        <v>23</v>
      </c>
      <c r="H187">
        <v>62904.68</v>
      </c>
      <c r="I187">
        <f t="shared" si="10"/>
        <v>13839.0296</v>
      </c>
      <c r="J187">
        <v>40489.412213652489</v>
      </c>
      <c r="K187">
        <f t="shared" si="11"/>
        <v>8907.6706870035468</v>
      </c>
      <c r="L187" s="9">
        <f t="shared" si="12"/>
        <v>0.55360813014690757</v>
      </c>
      <c r="M187" t="str">
        <f t="shared" si="13"/>
        <v>Complete Data</v>
      </c>
      <c r="N187" t="str">
        <f t="shared" si="14"/>
        <v>Non-compliant</v>
      </c>
    </row>
    <row r="188" spans="1:14">
      <c r="A188" t="s">
        <v>11</v>
      </c>
      <c r="B188" t="s">
        <v>19</v>
      </c>
      <c r="C188" t="s">
        <v>13</v>
      </c>
      <c r="D188" t="s">
        <v>21</v>
      </c>
      <c r="E188" t="s">
        <v>27</v>
      </c>
      <c r="F188" s="6">
        <v>45720</v>
      </c>
      <c r="G188" t="s">
        <v>24</v>
      </c>
      <c r="H188">
        <v>5230.5</v>
      </c>
      <c r="I188">
        <f t="shared" si="10"/>
        <v>4707.45</v>
      </c>
      <c r="J188">
        <v>4826.3838778584995</v>
      </c>
      <c r="K188">
        <f t="shared" si="11"/>
        <v>4343.7454900726498</v>
      </c>
      <c r="L188" s="9">
        <f t="shared" si="12"/>
        <v>8.3730621593409021E-2</v>
      </c>
      <c r="M188" t="str">
        <f t="shared" si="13"/>
        <v>Complete Data</v>
      </c>
      <c r="N188" t="str">
        <f t="shared" si="14"/>
        <v>Compliant</v>
      </c>
    </row>
    <row r="189" spans="1:14">
      <c r="A189" t="s">
        <v>19</v>
      </c>
      <c r="B189" t="s">
        <v>18</v>
      </c>
      <c r="C189" t="s">
        <v>21</v>
      </c>
      <c r="D189" t="s">
        <v>20</v>
      </c>
      <c r="E189" t="s">
        <v>27</v>
      </c>
      <c r="F189" s="6">
        <v>46001</v>
      </c>
      <c r="G189" t="s">
        <v>16</v>
      </c>
      <c r="H189">
        <v>100884.96</v>
      </c>
      <c r="I189">
        <f t="shared" si="10"/>
        <v>100884.96</v>
      </c>
      <c r="J189">
        <v>62745.446413775258</v>
      </c>
      <c r="K189">
        <f t="shared" si="11"/>
        <v>62745.446413775258</v>
      </c>
      <c r="L189" s="9">
        <f t="shared" si="12"/>
        <v>0.60784512289088632</v>
      </c>
      <c r="M189" t="str">
        <f t="shared" si="13"/>
        <v>Complete Data</v>
      </c>
      <c r="N189" t="str">
        <f t="shared" si="14"/>
        <v>Non-compliant</v>
      </c>
    </row>
    <row r="190" spans="1:14">
      <c r="A190" t="s">
        <v>18</v>
      </c>
      <c r="B190" t="s">
        <v>11</v>
      </c>
      <c r="C190" t="s">
        <v>20</v>
      </c>
      <c r="D190" t="s">
        <v>13</v>
      </c>
      <c r="E190" t="s">
        <v>22</v>
      </c>
      <c r="F190" s="6">
        <v>45786</v>
      </c>
      <c r="G190" t="s">
        <v>16</v>
      </c>
      <c r="H190">
        <v>119062.86</v>
      </c>
      <c r="I190">
        <f t="shared" si="10"/>
        <v>119062.86</v>
      </c>
      <c r="J190">
        <v>80814.071424459224</v>
      </c>
      <c r="K190">
        <f t="shared" si="11"/>
        <v>80814.071424459224</v>
      </c>
      <c r="L190" s="9">
        <f t="shared" si="12"/>
        <v>0.47329367152716401</v>
      </c>
      <c r="M190" t="str">
        <f t="shared" si="13"/>
        <v>Complete Data</v>
      </c>
      <c r="N190" t="str">
        <f t="shared" si="14"/>
        <v>Non-compliant</v>
      </c>
    </row>
    <row r="191" spans="1:14">
      <c r="A191" t="s">
        <v>18</v>
      </c>
      <c r="B191" t="s">
        <v>12</v>
      </c>
      <c r="C191" t="s">
        <v>20</v>
      </c>
      <c r="D191" t="s">
        <v>14</v>
      </c>
      <c r="E191" t="s">
        <v>22</v>
      </c>
      <c r="F191" s="6">
        <v>45888</v>
      </c>
      <c r="G191" t="s">
        <v>24</v>
      </c>
      <c r="H191">
        <v>191698.4</v>
      </c>
      <c r="I191">
        <f t="shared" si="10"/>
        <v>172528.56</v>
      </c>
      <c r="J191">
        <v>148553.5722418667</v>
      </c>
      <c r="K191">
        <f t="shared" si="11"/>
        <v>133698.21501768002</v>
      </c>
      <c r="L191" s="9">
        <f t="shared" si="12"/>
        <v>0.29043278533812228</v>
      </c>
      <c r="M191" t="str">
        <f t="shared" si="13"/>
        <v>Complete Data</v>
      </c>
      <c r="N191" t="str">
        <f t="shared" si="14"/>
        <v>Non-compliant</v>
      </c>
    </row>
    <row r="192" spans="1:14">
      <c r="A192" t="s">
        <v>18</v>
      </c>
      <c r="B192" t="s">
        <v>25</v>
      </c>
      <c r="C192" t="s">
        <v>20</v>
      </c>
      <c r="D192" t="s">
        <v>26</v>
      </c>
      <c r="E192" t="s">
        <v>22</v>
      </c>
      <c r="F192" s="6">
        <v>45667</v>
      </c>
      <c r="G192" t="s">
        <v>23</v>
      </c>
      <c r="H192">
        <v>89607.26</v>
      </c>
      <c r="I192">
        <f t="shared" si="10"/>
        <v>19713.5972</v>
      </c>
      <c r="J192">
        <v>65192.178171424508</v>
      </c>
      <c r="K192">
        <f t="shared" si="11"/>
        <v>14342.279197713391</v>
      </c>
      <c r="L192" s="9">
        <f t="shared" si="12"/>
        <v>0.37450937387573419</v>
      </c>
      <c r="M192" t="str">
        <f t="shared" si="13"/>
        <v>Complete Data</v>
      </c>
      <c r="N192" t="str">
        <f t="shared" si="14"/>
        <v>Non-compliant</v>
      </c>
    </row>
    <row r="193" spans="1:14">
      <c r="A193" t="s">
        <v>19</v>
      </c>
      <c r="B193" t="s">
        <v>25</v>
      </c>
      <c r="C193" t="s">
        <v>21</v>
      </c>
      <c r="D193" t="s">
        <v>26</v>
      </c>
      <c r="E193" t="s">
        <v>22</v>
      </c>
      <c r="F193" s="6">
        <v>45896</v>
      </c>
      <c r="G193" t="s">
        <v>24</v>
      </c>
      <c r="H193">
        <v>52876.14</v>
      </c>
      <c r="I193">
        <f t="shared" si="10"/>
        <v>47588.525999999998</v>
      </c>
      <c r="J193">
        <v>42022.911489494407</v>
      </c>
      <c r="K193">
        <f t="shared" si="11"/>
        <v>37820.620340544971</v>
      </c>
      <c r="L193" s="9">
        <f t="shared" si="12"/>
        <v>0.25826931371042333</v>
      </c>
      <c r="M193" t="str">
        <f t="shared" si="13"/>
        <v>Complete Data</v>
      </c>
      <c r="N193" t="str">
        <f t="shared" si="14"/>
        <v>Non-compliant</v>
      </c>
    </row>
    <row r="194" spans="1:14">
      <c r="A194" t="s">
        <v>25</v>
      </c>
      <c r="B194" t="s">
        <v>11</v>
      </c>
      <c r="C194" t="s">
        <v>26</v>
      </c>
      <c r="D194" t="s">
        <v>13</v>
      </c>
      <c r="E194" t="s">
        <v>27</v>
      </c>
      <c r="F194" s="6">
        <v>45937</v>
      </c>
      <c r="G194" t="s">
        <v>23</v>
      </c>
      <c r="H194">
        <v>11063.93</v>
      </c>
      <c r="I194">
        <f t="shared" ref="I194:I257" si="15">IF(G194="USD",H194*0.9,IF(G194="PLN",H194*0.22,IF(G194="EUR",H194,"")))</f>
        <v>2434.0646000000002</v>
      </c>
      <c r="J194">
        <v>10436.862809346499</v>
      </c>
      <c r="K194">
        <f t="shared" si="11"/>
        <v>2296.1098180562299</v>
      </c>
      <c r="L194" s="9">
        <f t="shared" si="12"/>
        <v>6.0081961611294275E-2</v>
      </c>
      <c r="M194" t="str">
        <f t="shared" si="13"/>
        <v>Complete Data</v>
      </c>
      <c r="N194" t="str">
        <f t="shared" si="14"/>
        <v>Non-compliant</v>
      </c>
    </row>
    <row r="195" spans="1:14">
      <c r="A195" t="s">
        <v>25</v>
      </c>
      <c r="B195" t="s">
        <v>12</v>
      </c>
      <c r="C195" t="s">
        <v>26</v>
      </c>
      <c r="D195" t="s">
        <v>14</v>
      </c>
      <c r="E195" t="s">
        <v>27</v>
      </c>
      <c r="F195" s="6">
        <v>45897</v>
      </c>
      <c r="G195" t="s">
        <v>24</v>
      </c>
      <c r="H195">
        <v>101494.39999999999</v>
      </c>
      <c r="I195">
        <f t="shared" si="15"/>
        <v>91344.959999999992</v>
      </c>
      <c r="J195">
        <v>65948.771261754722</v>
      </c>
      <c r="K195">
        <f t="shared" ref="K195:K258" si="16">IF(J195="","",IF(G195="EUR",J195,IF(G195="USD",J195*0.9,IF(G195="PLN",J195*0.22,""))))</f>
        <v>59353.894135579249</v>
      </c>
      <c r="L195" s="9">
        <f t="shared" ref="L195:L258" si="17">IF(K195="","",(I195-K195)/K195)</f>
        <v>0.53898849149383676</v>
      </c>
      <c r="M195" t="str">
        <f t="shared" ref="M195:M258" si="18">IF(I195="","Missing Amount, Margin not calculable",IF(K195="","Missing Cost Base, Margin not calculable","Complete Data"))</f>
        <v>Complete Data</v>
      </c>
      <c r="N195" t="str">
        <f t="shared" ref="N195:N258" si="19">IF(K195="","Unknown",IF(E195="Goods",IF(AND(L195&gt;=0.03,L195&lt;=0.08),"Compliant","Non-compliant"),IF(E195="Services",IF(AND(L195&gt;=0.05,L195&lt;=0.1),"Compliant","Non-compliant"),IF(E195="Royalties",IF(AND(L195&gt;=0.08,L195&lt;=0.15),"Compliant","Non-compliant"),"Unknown"))))</f>
        <v>Non-compliant</v>
      </c>
    </row>
    <row r="196" spans="1:14">
      <c r="A196" t="s">
        <v>18</v>
      </c>
      <c r="B196" t="s">
        <v>11</v>
      </c>
      <c r="C196" t="s">
        <v>20</v>
      </c>
      <c r="D196" t="s">
        <v>13</v>
      </c>
      <c r="E196" t="s">
        <v>22</v>
      </c>
      <c r="F196" s="6">
        <v>45713</v>
      </c>
      <c r="G196" t="s">
        <v>24</v>
      </c>
      <c r="H196">
        <v>107885.66</v>
      </c>
      <c r="I196">
        <f t="shared" si="15"/>
        <v>97097.094000000012</v>
      </c>
      <c r="K196" t="str">
        <f t="shared" si="16"/>
        <v/>
      </c>
      <c r="L196" s="9" t="str">
        <f t="shared" si="17"/>
        <v/>
      </c>
      <c r="M196" t="str">
        <f t="shared" si="18"/>
        <v>Missing Cost Base, Margin not calculable</v>
      </c>
      <c r="N196" t="str">
        <f t="shared" si="19"/>
        <v>Unknown</v>
      </c>
    </row>
    <row r="197" spans="1:14">
      <c r="A197" t="s">
        <v>12</v>
      </c>
      <c r="B197" t="s">
        <v>25</v>
      </c>
      <c r="C197" t="s">
        <v>14</v>
      </c>
      <c r="D197" t="s">
        <v>26</v>
      </c>
      <c r="E197" t="s">
        <v>15</v>
      </c>
      <c r="F197" s="6">
        <v>45775</v>
      </c>
      <c r="G197" t="s">
        <v>16</v>
      </c>
      <c r="H197">
        <v>193356.95</v>
      </c>
      <c r="I197">
        <f t="shared" si="15"/>
        <v>193356.95</v>
      </c>
      <c r="J197">
        <v>168604.24021210821</v>
      </c>
      <c r="K197">
        <f t="shared" si="16"/>
        <v>168604.24021210821</v>
      </c>
      <c r="L197" s="9">
        <f t="shared" si="17"/>
        <v>0.1468095331217785</v>
      </c>
      <c r="M197" t="str">
        <f t="shared" si="18"/>
        <v>Complete Data</v>
      </c>
      <c r="N197" t="str">
        <f t="shared" si="19"/>
        <v>Non-compliant</v>
      </c>
    </row>
    <row r="198" spans="1:14">
      <c r="A198" t="s">
        <v>11</v>
      </c>
      <c r="B198" t="s">
        <v>25</v>
      </c>
      <c r="C198" t="s">
        <v>13</v>
      </c>
      <c r="D198" t="s">
        <v>26</v>
      </c>
      <c r="E198" t="s">
        <v>22</v>
      </c>
      <c r="F198" s="6">
        <v>45745</v>
      </c>
      <c r="G198" t="s">
        <v>16</v>
      </c>
      <c r="H198">
        <v>153688.60999999999</v>
      </c>
      <c r="I198">
        <f t="shared" si="15"/>
        <v>153688.60999999999</v>
      </c>
      <c r="J198">
        <v>129317.9555231651</v>
      </c>
      <c r="K198">
        <f t="shared" si="16"/>
        <v>129317.9555231651</v>
      </c>
      <c r="L198" s="9">
        <f t="shared" si="17"/>
        <v>0.18845530288691656</v>
      </c>
      <c r="M198" t="str">
        <f t="shared" si="18"/>
        <v>Complete Data</v>
      </c>
      <c r="N198" t="str">
        <f t="shared" si="19"/>
        <v>Non-compliant</v>
      </c>
    </row>
    <row r="199" spans="1:14">
      <c r="A199" t="s">
        <v>25</v>
      </c>
      <c r="B199" t="s">
        <v>18</v>
      </c>
      <c r="C199" t="s">
        <v>26</v>
      </c>
      <c r="D199" t="s">
        <v>20</v>
      </c>
      <c r="E199" t="s">
        <v>27</v>
      </c>
      <c r="F199" s="6">
        <v>45668</v>
      </c>
      <c r="G199" t="s">
        <v>24</v>
      </c>
      <c r="H199">
        <v>118983.25</v>
      </c>
      <c r="I199">
        <f t="shared" si="15"/>
        <v>107084.925</v>
      </c>
      <c r="J199">
        <v>103074.4443096422</v>
      </c>
      <c r="K199">
        <f t="shared" si="16"/>
        <v>92766.999878677991</v>
      </c>
      <c r="L199" s="9">
        <f t="shared" si="17"/>
        <v>0.15434287128016644</v>
      </c>
      <c r="M199" t="str">
        <f t="shared" si="18"/>
        <v>Complete Data</v>
      </c>
      <c r="N199" t="str">
        <f t="shared" si="19"/>
        <v>Non-compliant</v>
      </c>
    </row>
    <row r="200" spans="1:14">
      <c r="A200" t="s">
        <v>11</v>
      </c>
      <c r="B200" t="s">
        <v>12</v>
      </c>
      <c r="C200" t="s">
        <v>13</v>
      </c>
      <c r="D200" t="s">
        <v>14</v>
      </c>
      <c r="E200" t="s">
        <v>22</v>
      </c>
      <c r="F200" s="6">
        <v>45932</v>
      </c>
      <c r="G200" t="s">
        <v>24</v>
      </c>
      <c r="H200">
        <v>112209.11</v>
      </c>
      <c r="I200">
        <f t="shared" si="15"/>
        <v>100988.19900000001</v>
      </c>
      <c r="J200">
        <v>101050.79403143471</v>
      </c>
      <c r="K200">
        <f t="shared" si="16"/>
        <v>90945.714628291244</v>
      </c>
      <c r="L200" s="9">
        <f t="shared" si="17"/>
        <v>0.11042284304163096</v>
      </c>
      <c r="M200" t="str">
        <f t="shared" si="18"/>
        <v>Complete Data</v>
      </c>
      <c r="N200" t="str">
        <f t="shared" si="19"/>
        <v>Non-compliant</v>
      </c>
    </row>
    <row r="201" spans="1:14">
      <c r="A201" t="s">
        <v>25</v>
      </c>
      <c r="B201" t="s">
        <v>18</v>
      </c>
      <c r="C201" t="s">
        <v>26</v>
      </c>
      <c r="D201" t="s">
        <v>20</v>
      </c>
      <c r="E201" t="s">
        <v>22</v>
      </c>
      <c r="F201" s="6">
        <v>45726</v>
      </c>
      <c r="G201" t="s">
        <v>23</v>
      </c>
      <c r="H201">
        <v>23648.17</v>
      </c>
      <c r="I201">
        <f t="shared" si="15"/>
        <v>5202.5973999999997</v>
      </c>
      <c r="J201">
        <v>20317.734970319019</v>
      </c>
      <c r="K201">
        <f t="shared" si="16"/>
        <v>4469.901693470184</v>
      </c>
      <c r="L201" s="9">
        <f t="shared" si="17"/>
        <v>0.1639176332670062</v>
      </c>
      <c r="M201" t="str">
        <f t="shared" si="18"/>
        <v>Complete Data</v>
      </c>
      <c r="N201" t="str">
        <f t="shared" si="19"/>
        <v>Non-compliant</v>
      </c>
    </row>
    <row r="202" spans="1:14">
      <c r="A202" t="s">
        <v>25</v>
      </c>
      <c r="B202" t="s">
        <v>11</v>
      </c>
      <c r="C202" t="s">
        <v>26</v>
      </c>
      <c r="D202" t="s">
        <v>13</v>
      </c>
      <c r="E202" t="s">
        <v>15</v>
      </c>
      <c r="F202" s="6">
        <v>45947</v>
      </c>
      <c r="G202" t="s">
        <v>24</v>
      </c>
      <c r="H202">
        <v>23349.55</v>
      </c>
      <c r="I202">
        <f t="shared" si="15"/>
        <v>21014.595000000001</v>
      </c>
      <c r="J202">
        <v>18680.567734918171</v>
      </c>
      <c r="K202">
        <f t="shared" si="16"/>
        <v>16812.510961426357</v>
      </c>
      <c r="L202" s="9">
        <f t="shared" si="17"/>
        <v>0.24993792112401655</v>
      </c>
      <c r="M202" t="str">
        <f t="shared" si="18"/>
        <v>Complete Data</v>
      </c>
      <c r="N202" t="str">
        <f t="shared" si="19"/>
        <v>Non-compliant</v>
      </c>
    </row>
    <row r="203" spans="1:14">
      <c r="A203" t="s">
        <v>11</v>
      </c>
      <c r="B203" t="s">
        <v>19</v>
      </c>
      <c r="C203" t="s">
        <v>13</v>
      </c>
      <c r="D203" t="s">
        <v>21</v>
      </c>
      <c r="E203" t="s">
        <v>15</v>
      </c>
      <c r="F203" s="6">
        <v>46018</v>
      </c>
      <c r="G203" t="s">
        <v>16</v>
      </c>
      <c r="H203">
        <v>146186.20000000001</v>
      </c>
      <c r="I203">
        <f t="shared" si="15"/>
        <v>146186.20000000001</v>
      </c>
      <c r="J203">
        <v>115486.5579058585</v>
      </c>
      <c r="K203">
        <f t="shared" si="16"/>
        <v>115486.5579058585</v>
      </c>
      <c r="L203" s="9">
        <f t="shared" si="17"/>
        <v>0.2658287046633343</v>
      </c>
      <c r="M203" t="str">
        <f t="shared" si="18"/>
        <v>Complete Data</v>
      </c>
      <c r="N203" t="str">
        <f t="shared" si="19"/>
        <v>Non-compliant</v>
      </c>
    </row>
    <row r="204" spans="1:14">
      <c r="A204" t="s">
        <v>11</v>
      </c>
      <c r="B204" t="s">
        <v>25</v>
      </c>
      <c r="C204" t="s">
        <v>13</v>
      </c>
      <c r="D204" t="s">
        <v>26</v>
      </c>
      <c r="E204" t="s">
        <v>27</v>
      </c>
      <c r="F204" s="6">
        <v>45786</v>
      </c>
      <c r="G204" t="s">
        <v>24</v>
      </c>
      <c r="H204">
        <v>68563.61</v>
      </c>
      <c r="I204">
        <f t="shared" si="15"/>
        <v>61707.249000000003</v>
      </c>
      <c r="J204">
        <v>59177.094253884112</v>
      </c>
      <c r="K204">
        <f t="shared" si="16"/>
        <v>53259.384828495698</v>
      </c>
      <c r="L204" s="9">
        <f t="shared" si="17"/>
        <v>0.15861738168226816</v>
      </c>
      <c r="M204" t="str">
        <f t="shared" si="18"/>
        <v>Complete Data</v>
      </c>
      <c r="N204" t="str">
        <f t="shared" si="19"/>
        <v>Non-compliant</v>
      </c>
    </row>
    <row r="205" spans="1:14">
      <c r="A205" t="s">
        <v>12</v>
      </c>
      <c r="B205" t="s">
        <v>25</v>
      </c>
      <c r="C205" t="s">
        <v>14</v>
      </c>
      <c r="D205" t="s">
        <v>26</v>
      </c>
      <c r="E205" t="s">
        <v>22</v>
      </c>
      <c r="F205" s="6">
        <v>45977</v>
      </c>
      <c r="G205" t="s">
        <v>24</v>
      </c>
      <c r="H205">
        <v>70709.67</v>
      </c>
      <c r="I205">
        <f t="shared" si="15"/>
        <v>63638.703000000001</v>
      </c>
      <c r="J205">
        <v>58466.223901931633</v>
      </c>
      <c r="K205">
        <f t="shared" si="16"/>
        <v>52619.601511738474</v>
      </c>
      <c r="L205" s="9">
        <f t="shared" si="17"/>
        <v>0.20941058411100599</v>
      </c>
      <c r="M205" t="str">
        <f t="shared" si="18"/>
        <v>Complete Data</v>
      </c>
      <c r="N205" t="str">
        <f t="shared" si="19"/>
        <v>Non-compliant</v>
      </c>
    </row>
    <row r="206" spans="1:14">
      <c r="A206" t="s">
        <v>25</v>
      </c>
      <c r="B206" t="s">
        <v>18</v>
      </c>
      <c r="C206" t="s">
        <v>26</v>
      </c>
      <c r="D206" t="s">
        <v>20</v>
      </c>
      <c r="E206" t="s">
        <v>22</v>
      </c>
      <c r="F206" s="6">
        <v>45946</v>
      </c>
      <c r="G206" t="s">
        <v>16</v>
      </c>
      <c r="H206">
        <v>13330.08</v>
      </c>
      <c r="I206">
        <f t="shared" si="15"/>
        <v>13330.08</v>
      </c>
      <c r="J206">
        <v>10113.556405593779</v>
      </c>
      <c r="K206">
        <f t="shared" si="16"/>
        <v>10113.556405593779</v>
      </c>
      <c r="L206" s="9">
        <f t="shared" si="17"/>
        <v>0.31804080240529142</v>
      </c>
      <c r="M206" t="str">
        <f t="shared" si="18"/>
        <v>Complete Data</v>
      </c>
      <c r="N206" t="str">
        <f t="shared" si="19"/>
        <v>Non-compliant</v>
      </c>
    </row>
    <row r="207" spans="1:14">
      <c r="A207" t="s">
        <v>11</v>
      </c>
      <c r="B207" t="s">
        <v>12</v>
      </c>
      <c r="C207" t="s">
        <v>13</v>
      </c>
      <c r="D207" t="s">
        <v>14</v>
      </c>
      <c r="E207" t="s">
        <v>27</v>
      </c>
      <c r="F207" s="6">
        <v>45768</v>
      </c>
      <c r="G207" t="s">
        <v>16</v>
      </c>
      <c r="H207">
        <v>170301.59</v>
      </c>
      <c r="I207">
        <f t="shared" si="15"/>
        <v>170301.59</v>
      </c>
      <c r="J207">
        <v>141294.21242944829</v>
      </c>
      <c r="K207">
        <f t="shared" si="16"/>
        <v>141294.21242944829</v>
      </c>
      <c r="L207" s="9">
        <f t="shared" si="17"/>
        <v>0.20529770520527021</v>
      </c>
      <c r="M207" t="str">
        <f t="shared" si="18"/>
        <v>Complete Data</v>
      </c>
      <c r="N207" t="str">
        <f t="shared" si="19"/>
        <v>Non-compliant</v>
      </c>
    </row>
    <row r="208" spans="1:14">
      <c r="A208" t="s">
        <v>12</v>
      </c>
      <c r="B208" t="s">
        <v>25</v>
      </c>
      <c r="C208" t="s">
        <v>14</v>
      </c>
      <c r="D208" t="s">
        <v>26</v>
      </c>
      <c r="E208" t="s">
        <v>22</v>
      </c>
      <c r="F208" s="6">
        <v>46013</v>
      </c>
      <c r="G208" t="s">
        <v>23</v>
      </c>
      <c r="H208">
        <v>17351.97</v>
      </c>
      <c r="I208">
        <f t="shared" si="15"/>
        <v>3817.4334000000003</v>
      </c>
      <c r="K208" t="str">
        <f t="shared" si="16"/>
        <v/>
      </c>
      <c r="L208" s="9" t="str">
        <f t="shared" si="17"/>
        <v/>
      </c>
      <c r="M208" t="str">
        <f t="shared" si="18"/>
        <v>Missing Cost Base, Margin not calculable</v>
      </c>
      <c r="N208" t="str">
        <f t="shared" si="19"/>
        <v>Unknown</v>
      </c>
    </row>
    <row r="209" spans="1:14">
      <c r="A209" t="s">
        <v>11</v>
      </c>
      <c r="B209" t="s">
        <v>25</v>
      </c>
      <c r="C209" t="s">
        <v>13</v>
      </c>
      <c r="D209" t="s">
        <v>26</v>
      </c>
      <c r="E209" t="s">
        <v>15</v>
      </c>
      <c r="F209" s="6">
        <v>45722</v>
      </c>
      <c r="G209" t="s">
        <v>23</v>
      </c>
      <c r="H209">
        <v>99855.94</v>
      </c>
      <c r="I209">
        <f t="shared" si="15"/>
        <v>21968.306800000002</v>
      </c>
      <c r="J209">
        <v>81370.298917130291</v>
      </c>
      <c r="K209">
        <f t="shared" si="16"/>
        <v>17901.465761768664</v>
      </c>
      <c r="L209" s="9">
        <f t="shared" si="17"/>
        <v>0.22717922053716422</v>
      </c>
      <c r="M209" t="str">
        <f t="shared" si="18"/>
        <v>Complete Data</v>
      </c>
      <c r="N209" t="str">
        <f t="shared" si="19"/>
        <v>Non-compliant</v>
      </c>
    </row>
    <row r="210" spans="1:14">
      <c r="A210" t="s">
        <v>11</v>
      </c>
      <c r="B210" t="s">
        <v>12</v>
      </c>
      <c r="C210" t="s">
        <v>13</v>
      </c>
      <c r="D210" t="s">
        <v>14</v>
      </c>
      <c r="E210" t="s">
        <v>27</v>
      </c>
      <c r="F210" s="6">
        <v>45924</v>
      </c>
      <c r="G210" t="s">
        <v>16</v>
      </c>
      <c r="H210">
        <v>84662.51</v>
      </c>
      <c r="I210">
        <f t="shared" si="15"/>
        <v>84662.51</v>
      </c>
      <c r="J210">
        <v>58488.666436587133</v>
      </c>
      <c r="K210">
        <f t="shared" si="16"/>
        <v>58488.666436587133</v>
      </c>
      <c r="L210" s="9">
        <f t="shared" si="17"/>
        <v>0.44750282675345826</v>
      </c>
      <c r="M210" t="str">
        <f t="shared" si="18"/>
        <v>Complete Data</v>
      </c>
      <c r="N210" t="str">
        <f t="shared" si="19"/>
        <v>Non-compliant</v>
      </c>
    </row>
    <row r="211" spans="1:14">
      <c r="A211" t="s">
        <v>12</v>
      </c>
      <c r="B211" t="s">
        <v>18</v>
      </c>
      <c r="C211" t="s">
        <v>14</v>
      </c>
      <c r="D211" t="s">
        <v>20</v>
      </c>
      <c r="E211" t="s">
        <v>22</v>
      </c>
      <c r="F211" s="6">
        <v>45986</v>
      </c>
      <c r="G211" t="s">
        <v>23</v>
      </c>
      <c r="H211">
        <v>7355.37</v>
      </c>
      <c r="I211">
        <f t="shared" si="15"/>
        <v>1618.1813999999999</v>
      </c>
      <c r="J211">
        <v>5809.6967794050906</v>
      </c>
      <c r="K211">
        <f t="shared" si="16"/>
        <v>1278.13329146912</v>
      </c>
      <c r="L211" s="9">
        <f t="shared" si="17"/>
        <v>0.26605058392620362</v>
      </c>
      <c r="M211" t="str">
        <f t="shared" si="18"/>
        <v>Complete Data</v>
      </c>
      <c r="N211" t="str">
        <f t="shared" si="19"/>
        <v>Non-compliant</v>
      </c>
    </row>
    <row r="212" spans="1:14">
      <c r="A212" t="s">
        <v>11</v>
      </c>
      <c r="B212" t="s">
        <v>12</v>
      </c>
      <c r="C212" t="s">
        <v>13</v>
      </c>
      <c r="D212" t="s">
        <v>14</v>
      </c>
      <c r="E212" t="s">
        <v>27</v>
      </c>
      <c r="F212" s="6">
        <v>45888</v>
      </c>
      <c r="G212" t="s">
        <v>16</v>
      </c>
      <c r="H212">
        <v>190535.55</v>
      </c>
      <c r="I212">
        <f t="shared" si="15"/>
        <v>190535.55</v>
      </c>
      <c r="J212">
        <v>119604.9634559534</v>
      </c>
      <c r="K212">
        <f t="shared" si="16"/>
        <v>119604.9634559534</v>
      </c>
      <c r="L212" s="9">
        <f t="shared" si="17"/>
        <v>0.59304049342540877</v>
      </c>
      <c r="M212" t="str">
        <f t="shared" si="18"/>
        <v>Complete Data</v>
      </c>
      <c r="N212" t="str">
        <f t="shared" si="19"/>
        <v>Non-compliant</v>
      </c>
    </row>
    <row r="213" spans="1:14">
      <c r="A213" t="s">
        <v>11</v>
      </c>
      <c r="B213" t="s">
        <v>25</v>
      </c>
      <c r="C213" t="s">
        <v>13</v>
      </c>
      <c r="D213" t="s">
        <v>26</v>
      </c>
      <c r="E213" t="s">
        <v>27</v>
      </c>
      <c r="F213" s="6">
        <v>45932</v>
      </c>
      <c r="G213" t="s">
        <v>23</v>
      </c>
      <c r="H213">
        <v>19005.900000000001</v>
      </c>
      <c r="I213">
        <f t="shared" si="15"/>
        <v>4181.2980000000007</v>
      </c>
      <c r="J213">
        <v>12630.51747078568</v>
      </c>
      <c r="K213">
        <f t="shared" si="16"/>
        <v>2778.7138435728498</v>
      </c>
      <c r="L213" s="9">
        <f t="shared" si="17"/>
        <v>0.50476020036079661</v>
      </c>
      <c r="M213" t="str">
        <f t="shared" si="18"/>
        <v>Complete Data</v>
      </c>
      <c r="N213" t="str">
        <f t="shared" si="19"/>
        <v>Non-compliant</v>
      </c>
    </row>
    <row r="214" spans="1:14">
      <c r="A214" t="s">
        <v>19</v>
      </c>
      <c r="B214" t="s">
        <v>11</v>
      </c>
      <c r="C214" t="s">
        <v>21</v>
      </c>
      <c r="D214" t="s">
        <v>13</v>
      </c>
      <c r="E214" t="s">
        <v>27</v>
      </c>
      <c r="F214" s="6">
        <v>45676</v>
      </c>
      <c r="G214" t="s">
        <v>23</v>
      </c>
      <c r="H214">
        <v>49265.23</v>
      </c>
      <c r="I214">
        <f t="shared" si="15"/>
        <v>10838.350600000002</v>
      </c>
      <c r="K214" t="str">
        <f t="shared" si="16"/>
        <v/>
      </c>
      <c r="L214" s="9" t="str">
        <f t="shared" si="17"/>
        <v/>
      </c>
      <c r="M214" t="str">
        <f t="shared" si="18"/>
        <v>Missing Cost Base, Margin not calculable</v>
      </c>
      <c r="N214" t="str">
        <f t="shared" si="19"/>
        <v>Unknown</v>
      </c>
    </row>
    <row r="215" spans="1:14">
      <c r="A215" t="s">
        <v>12</v>
      </c>
      <c r="B215" t="s">
        <v>11</v>
      </c>
      <c r="C215" t="s">
        <v>14</v>
      </c>
      <c r="D215" t="s">
        <v>13</v>
      </c>
      <c r="E215" t="s">
        <v>22</v>
      </c>
      <c r="F215" s="6">
        <v>45877</v>
      </c>
      <c r="G215" t="s">
        <v>24</v>
      </c>
      <c r="H215">
        <v>192895.58</v>
      </c>
      <c r="I215">
        <f t="shared" si="15"/>
        <v>173606.022</v>
      </c>
      <c r="J215">
        <v>157305.67045604231</v>
      </c>
      <c r="K215">
        <f t="shared" si="16"/>
        <v>141575.10341043808</v>
      </c>
      <c r="L215" s="9">
        <f t="shared" si="17"/>
        <v>0.22624683166715831</v>
      </c>
      <c r="M215" t="str">
        <f t="shared" si="18"/>
        <v>Complete Data</v>
      </c>
      <c r="N215" t="str">
        <f t="shared" si="19"/>
        <v>Non-compliant</v>
      </c>
    </row>
    <row r="216" spans="1:14">
      <c r="A216" t="s">
        <v>25</v>
      </c>
      <c r="B216" t="s">
        <v>18</v>
      </c>
      <c r="C216" t="s">
        <v>26</v>
      </c>
      <c r="D216" t="s">
        <v>20</v>
      </c>
      <c r="E216" t="s">
        <v>27</v>
      </c>
      <c r="F216" s="6">
        <v>45679</v>
      </c>
      <c r="G216" t="s">
        <v>24</v>
      </c>
      <c r="H216">
        <v>109262.42</v>
      </c>
      <c r="I216">
        <f t="shared" si="15"/>
        <v>98336.178</v>
      </c>
      <c r="K216" t="str">
        <f t="shared" si="16"/>
        <v/>
      </c>
      <c r="L216" s="9" t="str">
        <f t="shared" si="17"/>
        <v/>
      </c>
      <c r="M216" t="str">
        <f t="shared" si="18"/>
        <v>Missing Cost Base, Margin not calculable</v>
      </c>
      <c r="N216" t="str">
        <f t="shared" si="19"/>
        <v>Unknown</v>
      </c>
    </row>
    <row r="217" spans="1:14">
      <c r="A217" t="s">
        <v>11</v>
      </c>
      <c r="B217" t="s">
        <v>18</v>
      </c>
      <c r="C217" t="s">
        <v>13</v>
      </c>
      <c r="D217" t="s">
        <v>20</v>
      </c>
      <c r="E217" t="s">
        <v>15</v>
      </c>
      <c r="F217" s="6">
        <v>45680</v>
      </c>
      <c r="G217" t="s">
        <v>16</v>
      </c>
      <c r="H217">
        <v>165402.74</v>
      </c>
      <c r="I217">
        <f t="shared" si="15"/>
        <v>165402.74</v>
      </c>
      <c r="K217" t="str">
        <f t="shared" si="16"/>
        <v/>
      </c>
      <c r="L217" s="9" t="str">
        <f t="shared" si="17"/>
        <v/>
      </c>
      <c r="M217" t="str">
        <f t="shared" si="18"/>
        <v>Missing Cost Base, Margin not calculable</v>
      </c>
      <c r="N217" t="str">
        <f t="shared" si="19"/>
        <v>Unknown</v>
      </c>
    </row>
    <row r="218" spans="1:14">
      <c r="A218" t="s">
        <v>12</v>
      </c>
      <c r="B218" t="s">
        <v>19</v>
      </c>
      <c r="C218" t="s">
        <v>14</v>
      </c>
      <c r="D218" t="s">
        <v>21</v>
      </c>
      <c r="E218" t="s">
        <v>22</v>
      </c>
      <c r="F218" s="6">
        <v>45664</v>
      </c>
      <c r="G218" t="s">
        <v>16</v>
      </c>
      <c r="H218">
        <v>187814.3</v>
      </c>
      <c r="I218">
        <f t="shared" si="15"/>
        <v>187814.3</v>
      </c>
      <c r="J218">
        <v>155871.99925460611</v>
      </c>
      <c r="K218">
        <f t="shared" si="16"/>
        <v>155871.99925460611</v>
      </c>
      <c r="L218" s="9">
        <f t="shared" si="17"/>
        <v>0.20492648389797286</v>
      </c>
      <c r="M218" t="str">
        <f t="shared" si="18"/>
        <v>Complete Data</v>
      </c>
      <c r="N218" t="str">
        <f t="shared" si="19"/>
        <v>Non-compliant</v>
      </c>
    </row>
    <row r="219" spans="1:14">
      <c r="A219" t="s">
        <v>25</v>
      </c>
      <c r="B219" t="s">
        <v>12</v>
      </c>
      <c r="C219" t="s">
        <v>26</v>
      </c>
      <c r="D219" t="s">
        <v>14</v>
      </c>
      <c r="E219" t="s">
        <v>15</v>
      </c>
      <c r="F219" s="6">
        <v>45742</v>
      </c>
      <c r="G219" t="s">
        <v>16</v>
      </c>
      <c r="H219">
        <v>90428.12</v>
      </c>
      <c r="I219">
        <f t="shared" si="15"/>
        <v>90428.12</v>
      </c>
      <c r="J219">
        <v>81263.989710359077</v>
      </c>
      <c r="K219">
        <f t="shared" si="16"/>
        <v>81263.989710359077</v>
      </c>
      <c r="L219" s="9">
        <f t="shared" si="17"/>
        <v>0.11276987903625812</v>
      </c>
      <c r="M219" t="str">
        <f t="shared" si="18"/>
        <v>Complete Data</v>
      </c>
      <c r="N219" t="str">
        <f t="shared" si="19"/>
        <v>Non-compliant</v>
      </c>
    </row>
    <row r="220" spans="1:14">
      <c r="A220" t="s">
        <v>12</v>
      </c>
      <c r="B220" t="s">
        <v>19</v>
      </c>
      <c r="C220" t="s">
        <v>14</v>
      </c>
      <c r="D220" t="s">
        <v>21</v>
      </c>
      <c r="E220" t="s">
        <v>22</v>
      </c>
      <c r="F220" s="6">
        <v>45675</v>
      </c>
      <c r="G220" t="s">
        <v>16</v>
      </c>
      <c r="H220">
        <v>64531.22</v>
      </c>
      <c r="I220">
        <f t="shared" si="15"/>
        <v>64531.22</v>
      </c>
      <c r="J220">
        <v>54435.061984227737</v>
      </c>
      <c r="K220">
        <f t="shared" si="16"/>
        <v>54435.061984227737</v>
      </c>
      <c r="L220" s="9">
        <f t="shared" si="17"/>
        <v>0.18547159951241665</v>
      </c>
      <c r="M220" t="str">
        <f t="shared" si="18"/>
        <v>Complete Data</v>
      </c>
      <c r="N220" t="str">
        <f t="shared" si="19"/>
        <v>Non-compliant</v>
      </c>
    </row>
    <row r="221" spans="1:14">
      <c r="A221" t="s">
        <v>19</v>
      </c>
      <c r="B221" t="s">
        <v>11</v>
      </c>
      <c r="C221" t="s">
        <v>21</v>
      </c>
      <c r="D221" t="s">
        <v>13</v>
      </c>
      <c r="E221" t="s">
        <v>22</v>
      </c>
      <c r="F221" s="6">
        <v>46010</v>
      </c>
      <c r="G221" t="s">
        <v>16</v>
      </c>
      <c r="H221">
        <v>91906.23</v>
      </c>
      <c r="I221">
        <f t="shared" si="15"/>
        <v>91906.23</v>
      </c>
      <c r="J221">
        <v>77070.346611647008</v>
      </c>
      <c r="K221">
        <f t="shared" si="16"/>
        <v>77070.346611647008</v>
      </c>
      <c r="L221" s="9">
        <f t="shared" si="17"/>
        <v>0.19249794558612979</v>
      </c>
      <c r="M221" t="str">
        <f t="shared" si="18"/>
        <v>Complete Data</v>
      </c>
      <c r="N221" t="str">
        <f t="shared" si="19"/>
        <v>Non-compliant</v>
      </c>
    </row>
    <row r="222" spans="1:14">
      <c r="A222" t="s">
        <v>25</v>
      </c>
      <c r="B222" t="s">
        <v>18</v>
      </c>
      <c r="C222" t="s">
        <v>26</v>
      </c>
      <c r="D222" t="s">
        <v>20</v>
      </c>
      <c r="E222" t="s">
        <v>22</v>
      </c>
      <c r="F222" s="6">
        <v>45761</v>
      </c>
      <c r="G222" t="s">
        <v>16</v>
      </c>
      <c r="H222">
        <v>32724.68</v>
      </c>
      <c r="I222">
        <f t="shared" si="15"/>
        <v>32724.68</v>
      </c>
      <c r="J222">
        <v>26664.187567472502</v>
      </c>
      <c r="K222">
        <f t="shared" si="16"/>
        <v>26664.187567472502</v>
      </c>
      <c r="L222" s="9">
        <f t="shared" si="17"/>
        <v>0.22728959647436101</v>
      </c>
      <c r="M222" t="str">
        <f t="shared" si="18"/>
        <v>Complete Data</v>
      </c>
      <c r="N222" t="str">
        <f t="shared" si="19"/>
        <v>Non-compliant</v>
      </c>
    </row>
    <row r="223" spans="1:14">
      <c r="A223" t="s">
        <v>19</v>
      </c>
      <c r="B223" t="s">
        <v>12</v>
      </c>
      <c r="C223" t="s">
        <v>21</v>
      </c>
      <c r="D223" t="s">
        <v>14</v>
      </c>
      <c r="E223" t="s">
        <v>27</v>
      </c>
      <c r="F223" s="6">
        <v>46021</v>
      </c>
      <c r="G223" t="s">
        <v>23</v>
      </c>
      <c r="H223">
        <v>67917.31</v>
      </c>
      <c r="I223">
        <f t="shared" si="15"/>
        <v>14941.808199999999</v>
      </c>
      <c r="J223">
        <v>63519.177645467353</v>
      </c>
      <c r="K223">
        <f t="shared" si="16"/>
        <v>13974.219082002817</v>
      </c>
      <c r="L223" s="9">
        <f t="shared" si="17"/>
        <v>6.9241015352573473E-2</v>
      </c>
      <c r="M223" t="str">
        <f t="shared" si="18"/>
        <v>Complete Data</v>
      </c>
      <c r="N223" t="str">
        <f t="shared" si="19"/>
        <v>Non-compliant</v>
      </c>
    </row>
    <row r="224" spans="1:14">
      <c r="A224" t="s">
        <v>12</v>
      </c>
      <c r="B224" t="s">
        <v>25</v>
      </c>
      <c r="C224" t="s">
        <v>14</v>
      </c>
      <c r="D224" t="s">
        <v>26</v>
      </c>
      <c r="E224" t="s">
        <v>15</v>
      </c>
      <c r="F224" s="6">
        <v>45885</v>
      </c>
      <c r="G224" t="s">
        <v>23</v>
      </c>
      <c r="H224">
        <v>137135.93</v>
      </c>
      <c r="I224">
        <f t="shared" si="15"/>
        <v>30169.904599999998</v>
      </c>
      <c r="K224" t="str">
        <f t="shared" si="16"/>
        <v/>
      </c>
      <c r="L224" s="9" t="str">
        <f t="shared" si="17"/>
        <v/>
      </c>
      <c r="M224" t="str">
        <f t="shared" si="18"/>
        <v>Missing Cost Base, Margin not calculable</v>
      </c>
      <c r="N224" t="str">
        <f t="shared" si="19"/>
        <v>Unknown</v>
      </c>
    </row>
    <row r="225" spans="1:14">
      <c r="A225" t="s">
        <v>18</v>
      </c>
      <c r="B225" t="s">
        <v>12</v>
      </c>
      <c r="C225" t="s">
        <v>20</v>
      </c>
      <c r="D225" t="s">
        <v>14</v>
      </c>
      <c r="E225" t="s">
        <v>22</v>
      </c>
      <c r="F225" s="6">
        <v>45721</v>
      </c>
      <c r="G225" t="s">
        <v>23</v>
      </c>
      <c r="H225">
        <v>99423.99</v>
      </c>
      <c r="I225">
        <f t="shared" si="15"/>
        <v>21873.2778</v>
      </c>
      <c r="J225">
        <v>65974.110784875811</v>
      </c>
      <c r="K225">
        <f t="shared" si="16"/>
        <v>14514.304372672679</v>
      </c>
      <c r="L225" s="9">
        <f t="shared" si="17"/>
        <v>0.50701523396344705</v>
      </c>
      <c r="M225" t="str">
        <f t="shared" si="18"/>
        <v>Complete Data</v>
      </c>
      <c r="N225" t="str">
        <f t="shared" si="19"/>
        <v>Non-compliant</v>
      </c>
    </row>
    <row r="226" spans="1:14">
      <c r="A226" t="s">
        <v>19</v>
      </c>
      <c r="B226" t="s">
        <v>11</v>
      </c>
      <c r="C226" t="s">
        <v>21</v>
      </c>
      <c r="D226" t="s">
        <v>13</v>
      </c>
      <c r="E226" t="s">
        <v>22</v>
      </c>
      <c r="F226" s="6">
        <v>45740</v>
      </c>
      <c r="G226" t="s">
        <v>16</v>
      </c>
      <c r="H226">
        <v>81287.33</v>
      </c>
      <c r="I226">
        <f t="shared" si="15"/>
        <v>81287.33</v>
      </c>
      <c r="J226">
        <v>73614.65148279928</v>
      </c>
      <c r="K226">
        <f t="shared" si="16"/>
        <v>73614.65148279928</v>
      </c>
      <c r="L226" s="9">
        <f t="shared" si="17"/>
        <v>0.10422760092796897</v>
      </c>
      <c r="M226" t="str">
        <f t="shared" si="18"/>
        <v>Complete Data</v>
      </c>
      <c r="N226" t="str">
        <f t="shared" si="19"/>
        <v>Non-compliant</v>
      </c>
    </row>
    <row r="227" spans="1:14">
      <c r="A227" t="s">
        <v>18</v>
      </c>
      <c r="B227" t="s">
        <v>12</v>
      </c>
      <c r="C227" t="s">
        <v>20</v>
      </c>
      <c r="D227" t="s">
        <v>14</v>
      </c>
      <c r="E227" t="s">
        <v>27</v>
      </c>
      <c r="F227" s="6">
        <v>45800</v>
      </c>
      <c r="G227" t="s">
        <v>23</v>
      </c>
      <c r="H227">
        <v>180348.09</v>
      </c>
      <c r="I227">
        <f t="shared" si="15"/>
        <v>39676.5798</v>
      </c>
      <c r="K227" t="str">
        <f t="shared" si="16"/>
        <v/>
      </c>
      <c r="L227" s="9" t="str">
        <f t="shared" si="17"/>
        <v/>
      </c>
      <c r="M227" t="str">
        <f t="shared" si="18"/>
        <v>Missing Cost Base, Margin not calculable</v>
      </c>
      <c r="N227" t="str">
        <f t="shared" si="19"/>
        <v>Unknown</v>
      </c>
    </row>
    <row r="228" spans="1:14">
      <c r="A228" t="s">
        <v>19</v>
      </c>
      <c r="B228" t="s">
        <v>18</v>
      </c>
      <c r="C228" t="s">
        <v>21</v>
      </c>
      <c r="D228" t="s">
        <v>20</v>
      </c>
      <c r="E228" t="s">
        <v>15</v>
      </c>
      <c r="F228" s="6">
        <v>45925</v>
      </c>
      <c r="G228" t="s">
        <v>24</v>
      </c>
      <c r="H228">
        <v>20432</v>
      </c>
      <c r="I228">
        <f t="shared" si="15"/>
        <v>18388.8</v>
      </c>
      <c r="J228">
        <v>14880.202161218989</v>
      </c>
      <c r="K228">
        <f t="shared" si="16"/>
        <v>13392.181945097091</v>
      </c>
      <c r="L228" s="9">
        <f t="shared" si="17"/>
        <v>0.37309962449637885</v>
      </c>
      <c r="M228" t="str">
        <f t="shared" si="18"/>
        <v>Complete Data</v>
      </c>
      <c r="N228" t="str">
        <f t="shared" si="19"/>
        <v>Non-compliant</v>
      </c>
    </row>
    <row r="229" spans="1:14">
      <c r="A229" t="s">
        <v>25</v>
      </c>
      <c r="B229" t="s">
        <v>18</v>
      </c>
      <c r="C229" t="s">
        <v>26</v>
      </c>
      <c r="D229" t="s">
        <v>20</v>
      </c>
      <c r="E229" t="s">
        <v>27</v>
      </c>
      <c r="F229" s="6">
        <v>45885</v>
      </c>
      <c r="G229" t="s">
        <v>23</v>
      </c>
      <c r="H229">
        <v>88719.49</v>
      </c>
      <c r="I229">
        <f t="shared" si="15"/>
        <v>19518.287800000002</v>
      </c>
      <c r="J229">
        <v>84056.864331933975</v>
      </c>
      <c r="K229">
        <f t="shared" si="16"/>
        <v>18492.510153025476</v>
      </c>
      <c r="L229" s="9">
        <f t="shared" si="17"/>
        <v>5.5469897730822823E-2</v>
      </c>
      <c r="M229" t="str">
        <f t="shared" si="18"/>
        <v>Complete Data</v>
      </c>
      <c r="N229" t="str">
        <f t="shared" si="19"/>
        <v>Non-compliant</v>
      </c>
    </row>
    <row r="230" spans="1:14">
      <c r="A230" t="s">
        <v>12</v>
      </c>
      <c r="B230" t="s">
        <v>11</v>
      </c>
      <c r="C230" t="s">
        <v>14</v>
      </c>
      <c r="D230" t="s">
        <v>13</v>
      </c>
      <c r="E230" t="s">
        <v>27</v>
      </c>
      <c r="F230" s="6">
        <v>45742</v>
      </c>
      <c r="G230" t="s">
        <v>24</v>
      </c>
      <c r="H230">
        <v>77209.61</v>
      </c>
      <c r="I230">
        <f t="shared" si="15"/>
        <v>69488.649000000005</v>
      </c>
      <c r="J230">
        <v>73103.639335567656</v>
      </c>
      <c r="K230">
        <f t="shared" si="16"/>
        <v>65793.275402010899</v>
      </c>
      <c r="L230" s="9">
        <f t="shared" si="17"/>
        <v>5.6166433049724122E-2</v>
      </c>
      <c r="M230" t="str">
        <f t="shared" si="18"/>
        <v>Complete Data</v>
      </c>
      <c r="N230" t="str">
        <f t="shared" si="19"/>
        <v>Non-compliant</v>
      </c>
    </row>
    <row r="231" spans="1:14">
      <c r="A231" t="s">
        <v>11</v>
      </c>
      <c r="B231" t="s">
        <v>25</v>
      </c>
      <c r="C231" t="s">
        <v>13</v>
      </c>
      <c r="D231" t="s">
        <v>26</v>
      </c>
      <c r="E231" t="s">
        <v>15</v>
      </c>
      <c r="F231" s="6">
        <v>45708</v>
      </c>
      <c r="G231" t="s">
        <v>23</v>
      </c>
      <c r="H231">
        <v>23772.29</v>
      </c>
      <c r="I231">
        <f t="shared" si="15"/>
        <v>5229.9038</v>
      </c>
      <c r="J231">
        <v>16971.335560415821</v>
      </c>
      <c r="K231">
        <f t="shared" si="16"/>
        <v>3733.6938232914804</v>
      </c>
      <c r="L231" s="9">
        <f t="shared" si="17"/>
        <v>0.40073183488557151</v>
      </c>
      <c r="M231" t="str">
        <f t="shared" si="18"/>
        <v>Complete Data</v>
      </c>
      <c r="N231" t="str">
        <f t="shared" si="19"/>
        <v>Non-compliant</v>
      </c>
    </row>
    <row r="232" spans="1:14">
      <c r="A232" t="s">
        <v>11</v>
      </c>
      <c r="B232" t="s">
        <v>25</v>
      </c>
      <c r="C232" t="s">
        <v>13</v>
      </c>
      <c r="D232" t="s">
        <v>26</v>
      </c>
      <c r="E232" t="s">
        <v>27</v>
      </c>
      <c r="F232" s="6">
        <v>45805</v>
      </c>
      <c r="G232" t="s">
        <v>16</v>
      </c>
      <c r="H232">
        <v>165118.76999999999</v>
      </c>
      <c r="I232">
        <f t="shared" si="15"/>
        <v>165118.76999999999</v>
      </c>
      <c r="J232">
        <v>155372.53879277679</v>
      </c>
      <c r="K232">
        <f t="shared" si="16"/>
        <v>155372.53879277679</v>
      </c>
      <c r="L232" s="9">
        <f t="shared" si="17"/>
        <v>6.2728145417137893E-2</v>
      </c>
      <c r="M232" t="str">
        <f t="shared" si="18"/>
        <v>Complete Data</v>
      </c>
      <c r="N232" t="str">
        <f t="shared" si="19"/>
        <v>Non-compliant</v>
      </c>
    </row>
    <row r="233" spans="1:14">
      <c r="A233" t="s">
        <v>25</v>
      </c>
      <c r="B233" t="s">
        <v>11</v>
      </c>
      <c r="C233" t="s">
        <v>26</v>
      </c>
      <c r="D233" t="s">
        <v>13</v>
      </c>
      <c r="E233" t="s">
        <v>22</v>
      </c>
      <c r="F233" s="6">
        <v>45958</v>
      </c>
      <c r="G233" t="s">
        <v>23</v>
      </c>
      <c r="H233">
        <v>118764.23</v>
      </c>
      <c r="I233">
        <f t="shared" si="15"/>
        <v>26128.1306</v>
      </c>
      <c r="J233">
        <v>77302.600728041973</v>
      </c>
      <c r="K233">
        <f t="shared" si="16"/>
        <v>17006.572160169235</v>
      </c>
      <c r="L233" s="9">
        <f t="shared" si="17"/>
        <v>0.53635490761590343</v>
      </c>
      <c r="M233" t="str">
        <f t="shared" si="18"/>
        <v>Complete Data</v>
      </c>
      <c r="N233" t="str">
        <f t="shared" si="19"/>
        <v>Non-compliant</v>
      </c>
    </row>
    <row r="234" spans="1:14">
      <c r="A234" t="s">
        <v>12</v>
      </c>
      <c r="B234" t="s">
        <v>25</v>
      </c>
      <c r="C234" t="s">
        <v>14</v>
      </c>
      <c r="D234" t="s">
        <v>26</v>
      </c>
      <c r="E234" t="s">
        <v>27</v>
      </c>
      <c r="F234" s="6">
        <v>45878</v>
      </c>
      <c r="G234" t="s">
        <v>24</v>
      </c>
      <c r="H234">
        <v>157280.13</v>
      </c>
      <c r="I234">
        <f t="shared" si="15"/>
        <v>141552.117</v>
      </c>
      <c r="J234">
        <v>121848.2294644299</v>
      </c>
      <c r="K234">
        <f t="shared" si="16"/>
        <v>109663.40651798691</v>
      </c>
      <c r="L234" s="9">
        <f t="shared" si="17"/>
        <v>0.29078715949593203</v>
      </c>
      <c r="M234" t="str">
        <f t="shared" si="18"/>
        <v>Complete Data</v>
      </c>
      <c r="N234" t="str">
        <f t="shared" si="19"/>
        <v>Non-compliant</v>
      </c>
    </row>
    <row r="235" spans="1:14">
      <c r="A235" t="s">
        <v>18</v>
      </c>
      <c r="B235" t="s">
        <v>25</v>
      </c>
      <c r="C235" t="s">
        <v>20</v>
      </c>
      <c r="D235" t="s">
        <v>26</v>
      </c>
      <c r="E235" t="s">
        <v>22</v>
      </c>
      <c r="F235" s="6">
        <v>45924</v>
      </c>
      <c r="G235" t="s">
        <v>24</v>
      </c>
      <c r="H235">
        <v>157556.17000000001</v>
      </c>
      <c r="I235">
        <f t="shared" si="15"/>
        <v>141800.55300000001</v>
      </c>
      <c r="J235">
        <v>116471.9974414374</v>
      </c>
      <c r="K235">
        <f t="shared" si="16"/>
        <v>104824.79769729366</v>
      </c>
      <c r="L235" s="9">
        <f t="shared" si="17"/>
        <v>0.35273862783386978</v>
      </c>
      <c r="M235" t="str">
        <f t="shared" si="18"/>
        <v>Complete Data</v>
      </c>
      <c r="N235" t="str">
        <f t="shared" si="19"/>
        <v>Non-compliant</v>
      </c>
    </row>
    <row r="236" spans="1:14">
      <c r="A236" t="s">
        <v>11</v>
      </c>
      <c r="B236" t="s">
        <v>25</v>
      </c>
      <c r="C236" t="s">
        <v>13</v>
      </c>
      <c r="D236" t="s">
        <v>26</v>
      </c>
      <c r="E236" t="s">
        <v>27</v>
      </c>
      <c r="F236" s="6">
        <v>45816</v>
      </c>
      <c r="G236" t="s">
        <v>16</v>
      </c>
      <c r="H236">
        <v>39574.6</v>
      </c>
      <c r="I236">
        <f t="shared" si="15"/>
        <v>39574.6</v>
      </c>
      <c r="J236">
        <v>28483.59355059508</v>
      </c>
      <c r="K236">
        <f t="shared" si="16"/>
        <v>28483.59355059508</v>
      </c>
      <c r="L236" s="9">
        <f t="shared" si="17"/>
        <v>0.38938227473665116</v>
      </c>
      <c r="M236" t="str">
        <f t="shared" si="18"/>
        <v>Complete Data</v>
      </c>
      <c r="N236" t="str">
        <f t="shared" si="19"/>
        <v>Non-compliant</v>
      </c>
    </row>
    <row r="237" spans="1:14">
      <c r="A237" t="s">
        <v>19</v>
      </c>
      <c r="B237" t="s">
        <v>25</v>
      </c>
      <c r="C237" t="s">
        <v>21</v>
      </c>
      <c r="D237" t="s">
        <v>26</v>
      </c>
      <c r="E237" t="s">
        <v>27</v>
      </c>
      <c r="F237" s="6">
        <v>45727</v>
      </c>
      <c r="G237" t="s">
        <v>23</v>
      </c>
      <c r="H237">
        <v>61693.93</v>
      </c>
      <c r="I237">
        <f t="shared" si="15"/>
        <v>13572.6646</v>
      </c>
      <c r="J237">
        <v>55758.709397876031</v>
      </c>
      <c r="K237">
        <f t="shared" si="16"/>
        <v>12266.916067532728</v>
      </c>
      <c r="L237" s="9">
        <f t="shared" si="17"/>
        <v>0.10644472704294786</v>
      </c>
      <c r="M237" t="str">
        <f t="shared" si="18"/>
        <v>Complete Data</v>
      </c>
      <c r="N237" t="str">
        <f t="shared" si="19"/>
        <v>Compliant</v>
      </c>
    </row>
    <row r="238" spans="1:14">
      <c r="A238" t="s">
        <v>19</v>
      </c>
      <c r="B238" t="s">
        <v>11</v>
      </c>
      <c r="C238" t="s">
        <v>21</v>
      </c>
      <c r="D238" t="s">
        <v>13</v>
      </c>
      <c r="E238" t="s">
        <v>22</v>
      </c>
      <c r="F238" s="6">
        <v>45713</v>
      </c>
      <c r="G238" t="s">
        <v>23</v>
      </c>
      <c r="H238">
        <v>52632</v>
      </c>
      <c r="I238">
        <f t="shared" si="15"/>
        <v>11579.04</v>
      </c>
      <c r="J238">
        <v>42908.527672836681</v>
      </c>
      <c r="K238">
        <f t="shared" si="16"/>
        <v>9439.8760880240698</v>
      </c>
      <c r="L238" s="9">
        <f t="shared" si="17"/>
        <v>0.22660932114244473</v>
      </c>
      <c r="M238" t="str">
        <f t="shared" si="18"/>
        <v>Complete Data</v>
      </c>
      <c r="N238" t="str">
        <f t="shared" si="19"/>
        <v>Non-compliant</v>
      </c>
    </row>
    <row r="239" spans="1:14">
      <c r="A239" t="s">
        <v>25</v>
      </c>
      <c r="B239" t="s">
        <v>19</v>
      </c>
      <c r="C239" t="s">
        <v>26</v>
      </c>
      <c r="D239" t="s">
        <v>21</v>
      </c>
      <c r="E239" t="s">
        <v>22</v>
      </c>
      <c r="F239" s="6">
        <v>45757</v>
      </c>
      <c r="G239" t="s">
        <v>24</v>
      </c>
      <c r="H239">
        <v>103120.23</v>
      </c>
      <c r="I239">
        <f t="shared" si="15"/>
        <v>92808.206999999995</v>
      </c>
      <c r="K239" t="str">
        <f t="shared" si="16"/>
        <v/>
      </c>
      <c r="L239" s="9" t="str">
        <f t="shared" si="17"/>
        <v/>
      </c>
      <c r="M239" t="str">
        <f t="shared" si="18"/>
        <v>Missing Cost Base, Margin not calculable</v>
      </c>
      <c r="N239" t="str">
        <f t="shared" si="19"/>
        <v>Unknown</v>
      </c>
    </row>
    <row r="240" spans="1:14">
      <c r="A240" t="s">
        <v>11</v>
      </c>
      <c r="B240" t="s">
        <v>12</v>
      </c>
      <c r="C240" t="s">
        <v>13</v>
      </c>
      <c r="D240" t="s">
        <v>14</v>
      </c>
      <c r="E240" t="s">
        <v>22</v>
      </c>
      <c r="F240" s="6">
        <v>45669</v>
      </c>
      <c r="G240" t="s">
        <v>23</v>
      </c>
      <c r="H240">
        <v>86106.31</v>
      </c>
      <c r="I240">
        <f t="shared" si="15"/>
        <v>18943.388200000001</v>
      </c>
      <c r="J240">
        <v>78437.568690958491</v>
      </c>
      <c r="K240">
        <f t="shared" si="16"/>
        <v>17256.265112010868</v>
      </c>
      <c r="L240" s="9">
        <f t="shared" si="17"/>
        <v>9.7768727881611325E-2</v>
      </c>
      <c r="M240" t="str">
        <f t="shared" si="18"/>
        <v>Complete Data</v>
      </c>
      <c r="N240" t="str">
        <f t="shared" si="19"/>
        <v>Non-compliant</v>
      </c>
    </row>
    <row r="241" spans="1:14">
      <c r="A241" t="s">
        <v>18</v>
      </c>
      <c r="B241" t="s">
        <v>12</v>
      </c>
      <c r="C241" t="s">
        <v>20</v>
      </c>
      <c r="D241" t="s">
        <v>14</v>
      </c>
      <c r="E241" t="s">
        <v>27</v>
      </c>
      <c r="F241" s="6">
        <v>45996</v>
      </c>
      <c r="G241" t="s">
        <v>24</v>
      </c>
      <c r="H241">
        <v>116557.01</v>
      </c>
      <c r="I241">
        <f t="shared" si="15"/>
        <v>104901.30899999999</v>
      </c>
      <c r="J241">
        <v>108785.1384436474</v>
      </c>
      <c r="K241">
        <f t="shared" si="16"/>
        <v>97906.624599282659</v>
      </c>
      <c r="L241" s="9">
        <f t="shared" si="17"/>
        <v>7.1442401669402286E-2</v>
      </c>
      <c r="M241" t="str">
        <f t="shared" si="18"/>
        <v>Complete Data</v>
      </c>
      <c r="N241" t="str">
        <f t="shared" si="19"/>
        <v>Non-compliant</v>
      </c>
    </row>
    <row r="242" spans="1:14">
      <c r="A242" t="s">
        <v>25</v>
      </c>
      <c r="B242" t="s">
        <v>19</v>
      </c>
      <c r="C242" t="s">
        <v>26</v>
      </c>
      <c r="D242" t="s">
        <v>21</v>
      </c>
      <c r="E242" t="s">
        <v>22</v>
      </c>
      <c r="F242" s="6">
        <v>45959</v>
      </c>
      <c r="G242" t="s">
        <v>24</v>
      </c>
      <c r="H242">
        <v>31542.07</v>
      </c>
      <c r="I242">
        <f t="shared" si="15"/>
        <v>28387.863000000001</v>
      </c>
      <c r="J242">
        <v>29145.54075910844</v>
      </c>
      <c r="K242">
        <f t="shared" si="16"/>
        <v>26230.986683197596</v>
      </c>
      <c r="L242" s="9">
        <f t="shared" si="17"/>
        <v>8.222627470525172E-2</v>
      </c>
      <c r="M242" t="str">
        <f t="shared" si="18"/>
        <v>Complete Data</v>
      </c>
      <c r="N242" t="str">
        <f t="shared" si="19"/>
        <v>Non-compliant</v>
      </c>
    </row>
    <row r="243" spans="1:14">
      <c r="A243" t="s">
        <v>25</v>
      </c>
      <c r="B243" t="s">
        <v>19</v>
      </c>
      <c r="C243" t="s">
        <v>26</v>
      </c>
      <c r="D243" t="s">
        <v>21</v>
      </c>
      <c r="E243" t="s">
        <v>22</v>
      </c>
      <c r="F243" s="6">
        <v>45666</v>
      </c>
      <c r="G243" t="s">
        <v>24</v>
      </c>
      <c r="H243">
        <v>112778.56</v>
      </c>
      <c r="I243">
        <f t="shared" si="15"/>
        <v>101500.704</v>
      </c>
      <c r="J243">
        <v>94769.94026442802</v>
      </c>
      <c r="K243">
        <f t="shared" si="16"/>
        <v>85292.946237985219</v>
      </c>
      <c r="L243" s="9">
        <f t="shared" si="17"/>
        <v>0.19002459730716456</v>
      </c>
      <c r="M243" t="str">
        <f t="shared" si="18"/>
        <v>Complete Data</v>
      </c>
      <c r="N243" t="str">
        <f t="shared" si="19"/>
        <v>Non-compliant</v>
      </c>
    </row>
    <row r="244" spans="1:14">
      <c r="A244" t="s">
        <v>19</v>
      </c>
      <c r="B244" t="s">
        <v>18</v>
      </c>
      <c r="C244" t="s">
        <v>21</v>
      </c>
      <c r="D244" t="s">
        <v>20</v>
      </c>
      <c r="E244" t="s">
        <v>15</v>
      </c>
      <c r="F244" s="6">
        <v>45921</v>
      </c>
      <c r="G244" t="s">
        <v>16</v>
      </c>
      <c r="H244">
        <v>133816.68</v>
      </c>
      <c r="I244">
        <f t="shared" si="15"/>
        <v>133816.68</v>
      </c>
      <c r="J244">
        <v>85205.601007406221</v>
      </c>
      <c r="K244">
        <f t="shared" si="16"/>
        <v>85205.601007406221</v>
      </c>
      <c r="L244" s="9">
        <f t="shared" si="17"/>
        <v>0.5705150649470615</v>
      </c>
      <c r="M244" t="str">
        <f t="shared" si="18"/>
        <v>Complete Data</v>
      </c>
      <c r="N244" t="str">
        <f t="shared" si="19"/>
        <v>Non-compliant</v>
      </c>
    </row>
    <row r="245" spans="1:14">
      <c r="A245" t="s">
        <v>25</v>
      </c>
      <c r="B245" t="s">
        <v>19</v>
      </c>
      <c r="C245" t="s">
        <v>26</v>
      </c>
      <c r="D245" t="s">
        <v>21</v>
      </c>
      <c r="E245" t="s">
        <v>22</v>
      </c>
      <c r="F245" s="6">
        <v>46021</v>
      </c>
      <c r="G245" t="s">
        <v>23</v>
      </c>
      <c r="H245">
        <v>113400.54</v>
      </c>
      <c r="I245">
        <f t="shared" si="15"/>
        <v>24948.1188</v>
      </c>
      <c r="J245">
        <v>94969.4208323614</v>
      </c>
      <c r="K245">
        <f t="shared" si="16"/>
        <v>20893.272583119509</v>
      </c>
      <c r="L245" s="9">
        <f t="shared" si="17"/>
        <v>0.19407425049135479</v>
      </c>
      <c r="M245" t="str">
        <f t="shared" si="18"/>
        <v>Complete Data</v>
      </c>
      <c r="N245" t="str">
        <f t="shared" si="19"/>
        <v>Non-compliant</v>
      </c>
    </row>
    <row r="246" spans="1:14">
      <c r="A246" t="s">
        <v>19</v>
      </c>
      <c r="B246" t="s">
        <v>12</v>
      </c>
      <c r="C246" t="s">
        <v>21</v>
      </c>
      <c r="D246" t="s">
        <v>14</v>
      </c>
      <c r="E246" t="s">
        <v>15</v>
      </c>
      <c r="F246" s="6">
        <v>45774</v>
      </c>
      <c r="G246" t="s">
        <v>23</v>
      </c>
      <c r="H246">
        <v>134038.22</v>
      </c>
      <c r="I246">
        <f t="shared" si="15"/>
        <v>29488.4084</v>
      </c>
      <c r="J246">
        <v>109708.0036135805</v>
      </c>
      <c r="K246">
        <f t="shared" si="16"/>
        <v>24135.760794987709</v>
      </c>
      <c r="L246" s="9">
        <f t="shared" si="17"/>
        <v>0.2217724831828744</v>
      </c>
      <c r="M246" t="str">
        <f t="shared" si="18"/>
        <v>Complete Data</v>
      </c>
      <c r="N246" t="str">
        <f t="shared" si="19"/>
        <v>Non-compliant</v>
      </c>
    </row>
    <row r="247" spans="1:14">
      <c r="A247" t="s">
        <v>11</v>
      </c>
      <c r="B247" t="s">
        <v>12</v>
      </c>
      <c r="C247" t="s">
        <v>13</v>
      </c>
      <c r="D247" t="s">
        <v>14</v>
      </c>
      <c r="E247" t="s">
        <v>15</v>
      </c>
      <c r="F247" s="6">
        <v>45703</v>
      </c>
      <c r="G247" t="s">
        <v>24</v>
      </c>
      <c r="H247">
        <v>6036.72</v>
      </c>
      <c r="I247">
        <f t="shared" si="15"/>
        <v>5433.0480000000007</v>
      </c>
      <c r="J247">
        <v>3734.208796487058</v>
      </c>
      <c r="K247">
        <f t="shared" si="16"/>
        <v>3360.7879168383524</v>
      </c>
      <c r="L247" s="9">
        <f t="shared" si="17"/>
        <v>0.61659948037159051</v>
      </c>
      <c r="M247" t="str">
        <f t="shared" si="18"/>
        <v>Complete Data</v>
      </c>
      <c r="N247" t="str">
        <f t="shared" si="19"/>
        <v>Non-compliant</v>
      </c>
    </row>
    <row r="248" spans="1:14">
      <c r="A248" t="s">
        <v>18</v>
      </c>
      <c r="B248" t="s">
        <v>11</v>
      </c>
      <c r="C248" t="s">
        <v>20</v>
      </c>
      <c r="D248" t="s">
        <v>13</v>
      </c>
      <c r="E248" t="s">
        <v>15</v>
      </c>
      <c r="F248" s="6">
        <v>45994</v>
      </c>
      <c r="G248" t="s">
        <v>16</v>
      </c>
      <c r="H248">
        <v>186632.17</v>
      </c>
      <c r="I248">
        <f t="shared" si="15"/>
        <v>186632.17</v>
      </c>
      <c r="J248">
        <v>161950.40181081899</v>
      </c>
      <c r="K248">
        <f t="shared" si="16"/>
        <v>161950.40181081899</v>
      </c>
      <c r="L248" s="9">
        <f t="shared" si="17"/>
        <v>0.15240325379379313</v>
      </c>
      <c r="M248" t="str">
        <f t="shared" si="18"/>
        <v>Complete Data</v>
      </c>
      <c r="N248" t="str">
        <f t="shared" si="19"/>
        <v>Non-compliant</v>
      </c>
    </row>
    <row r="249" spans="1:14">
      <c r="A249" t="s">
        <v>11</v>
      </c>
      <c r="B249" t="s">
        <v>19</v>
      </c>
      <c r="C249" t="s">
        <v>13</v>
      </c>
      <c r="D249" t="s">
        <v>21</v>
      </c>
      <c r="E249" t="s">
        <v>27</v>
      </c>
      <c r="F249" s="6">
        <v>45912</v>
      </c>
      <c r="G249" t="s">
        <v>16</v>
      </c>
      <c r="H249">
        <v>199711.5</v>
      </c>
      <c r="I249">
        <f t="shared" si="15"/>
        <v>199711.5</v>
      </c>
      <c r="K249" t="str">
        <f t="shared" si="16"/>
        <v/>
      </c>
      <c r="L249" s="9" t="str">
        <f t="shared" si="17"/>
        <v/>
      </c>
      <c r="M249" t="str">
        <f t="shared" si="18"/>
        <v>Missing Cost Base, Margin not calculable</v>
      </c>
      <c r="N249" t="str">
        <f t="shared" si="19"/>
        <v>Unknown</v>
      </c>
    </row>
    <row r="250" spans="1:14">
      <c r="A250" t="s">
        <v>25</v>
      </c>
      <c r="B250" t="s">
        <v>18</v>
      </c>
      <c r="C250" t="s">
        <v>26</v>
      </c>
      <c r="D250" t="s">
        <v>20</v>
      </c>
      <c r="E250" t="s">
        <v>15</v>
      </c>
      <c r="F250" s="6">
        <v>46002</v>
      </c>
      <c r="G250" t="s">
        <v>24</v>
      </c>
      <c r="H250">
        <v>138608.73000000001</v>
      </c>
      <c r="I250">
        <f t="shared" si="15"/>
        <v>124747.85700000002</v>
      </c>
      <c r="J250">
        <v>95479.737787367063</v>
      </c>
      <c r="K250">
        <f t="shared" si="16"/>
        <v>85931.764008630358</v>
      </c>
      <c r="L250" s="9">
        <f t="shared" si="17"/>
        <v>0.45170832275095918</v>
      </c>
      <c r="M250" t="str">
        <f t="shared" si="18"/>
        <v>Complete Data</v>
      </c>
      <c r="N250" t="str">
        <f t="shared" si="19"/>
        <v>Non-compliant</v>
      </c>
    </row>
    <row r="251" spans="1:14">
      <c r="A251" t="s">
        <v>19</v>
      </c>
      <c r="B251" t="s">
        <v>12</v>
      </c>
      <c r="C251" t="s">
        <v>21</v>
      </c>
      <c r="D251" t="s">
        <v>14</v>
      </c>
      <c r="E251" t="s">
        <v>27</v>
      </c>
      <c r="F251" s="6">
        <v>46016</v>
      </c>
      <c r="G251" t="s">
        <v>16</v>
      </c>
      <c r="H251">
        <v>11735.37</v>
      </c>
      <c r="I251">
        <f t="shared" si="15"/>
        <v>11735.37</v>
      </c>
      <c r="J251">
        <v>8768.3922692722463</v>
      </c>
      <c r="K251">
        <f t="shared" si="16"/>
        <v>8768.3922692722463</v>
      </c>
      <c r="L251" s="9">
        <f t="shared" si="17"/>
        <v>0.33837192037189801</v>
      </c>
      <c r="M251" t="str">
        <f t="shared" si="18"/>
        <v>Complete Data</v>
      </c>
      <c r="N251" t="str">
        <f t="shared" si="19"/>
        <v>Non-compliant</v>
      </c>
    </row>
    <row r="252" spans="1:14">
      <c r="A252" t="s">
        <v>18</v>
      </c>
      <c r="B252" t="s">
        <v>11</v>
      </c>
      <c r="C252" t="s">
        <v>20</v>
      </c>
      <c r="D252" t="s">
        <v>13</v>
      </c>
      <c r="E252" t="s">
        <v>27</v>
      </c>
      <c r="F252" s="6">
        <v>45720</v>
      </c>
      <c r="G252" t="s">
        <v>23</v>
      </c>
      <c r="H252">
        <v>185981.27</v>
      </c>
      <c r="I252">
        <f t="shared" si="15"/>
        <v>40915.879399999998</v>
      </c>
      <c r="J252">
        <v>169391.51249359691</v>
      </c>
      <c r="K252">
        <f t="shared" si="16"/>
        <v>37266.132748591321</v>
      </c>
      <c r="L252" s="9">
        <f t="shared" si="17"/>
        <v>9.7937359801484616E-2</v>
      </c>
      <c r="M252" t="str">
        <f t="shared" si="18"/>
        <v>Complete Data</v>
      </c>
      <c r="N252" t="str">
        <f t="shared" si="19"/>
        <v>Compliant</v>
      </c>
    </row>
    <row r="253" spans="1:14">
      <c r="A253" t="s">
        <v>18</v>
      </c>
      <c r="B253" t="s">
        <v>25</v>
      </c>
      <c r="C253" t="s">
        <v>20</v>
      </c>
      <c r="D253" t="s">
        <v>26</v>
      </c>
      <c r="E253" t="s">
        <v>27</v>
      </c>
      <c r="F253" s="6">
        <v>45786</v>
      </c>
      <c r="G253" t="s">
        <v>24</v>
      </c>
      <c r="H253">
        <v>117408.93</v>
      </c>
      <c r="I253">
        <f t="shared" si="15"/>
        <v>105668.037</v>
      </c>
      <c r="J253">
        <v>100502.40299507701</v>
      </c>
      <c r="K253">
        <f t="shared" si="16"/>
        <v>90452.162695569306</v>
      </c>
      <c r="L253" s="9">
        <f t="shared" si="17"/>
        <v>0.16822012709239534</v>
      </c>
      <c r="M253" t="str">
        <f t="shared" si="18"/>
        <v>Complete Data</v>
      </c>
      <c r="N253" t="str">
        <f t="shared" si="19"/>
        <v>Non-compliant</v>
      </c>
    </row>
    <row r="254" spans="1:14">
      <c r="A254" t="s">
        <v>25</v>
      </c>
      <c r="B254" t="s">
        <v>12</v>
      </c>
      <c r="C254" t="s">
        <v>26</v>
      </c>
      <c r="D254" t="s">
        <v>14</v>
      </c>
      <c r="E254" t="s">
        <v>22</v>
      </c>
      <c r="F254" s="6">
        <v>45847</v>
      </c>
      <c r="G254" t="s">
        <v>16</v>
      </c>
      <c r="H254">
        <v>107736.12</v>
      </c>
      <c r="I254">
        <f t="shared" si="15"/>
        <v>107736.12</v>
      </c>
      <c r="J254">
        <v>71348.532240169676</v>
      </c>
      <c r="K254">
        <f t="shared" si="16"/>
        <v>71348.532240169676</v>
      </c>
      <c r="L254" s="9">
        <f t="shared" si="17"/>
        <v>0.50999770587213111</v>
      </c>
      <c r="M254" t="str">
        <f t="shared" si="18"/>
        <v>Complete Data</v>
      </c>
      <c r="N254" t="str">
        <f t="shared" si="19"/>
        <v>Non-compliant</v>
      </c>
    </row>
    <row r="255" spans="1:14">
      <c r="A255" t="s">
        <v>11</v>
      </c>
      <c r="B255" t="s">
        <v>12</v>
      </c>
      <c r="C255" t="s">
        <v>13</v>
      </c>
      <c r="D255" t="s">
        <v>14</v>
      </c>
      <c r="E255" t="s">
        <v>27</v>
      </c>
      <c r="F255" s="6">
        <v>45785</v>
      </c>
      <c r="G255" t="s">
        <v>24</v>
      </c>
      <c r="H255">
        <v>12383.2</v>
      </c>
      <c r="I255">
        <f t="shared" si="15"/>
        <v>11144.880000000001</v>
      </c>
      <c r="J255">
        <v>7671.3236045037866</v>
      </c>
      <c r="K255">
        <f t="shared" si="16"/>
        <v>6904.1912440534079</v>
      </c>
      <c r="L255" s="9">
        <f t="shared" si="17"/>
        <v>0.6142194800294829</v>
      </c>
      <c r="M255" t="str">
        <f t="shared" si="18"/>
        <v>Complete Data</v>
      </c>
      <c r="N255" t="str">
        <f t="shared" si="19"/>
        <v>Non-compliant</v>
      </c>
    </row>
    <row r="256" spans="1:14">
      <c r="A256" t="s">
        <v>18</v>
      </c>
      <c r="B256" t="s">
        <v>25</v>
      </c>
      <c r="C256" t="s">
        <v>20</v>
      </c>
      <c r="D256" t="s">
        <v>26</v>
      </c>
      <c r="E256" t="s">
        <v>22</v>
      </c>
      <c r="F256" s="6">
        <v>45706</v>
      </c>
      <c r="G256" t="s">
        <v>23</v>
      </c>
      <c r="H256">
        <v>98005.43</v>
      </c>
      <c r="I256">
        <f t="shared" si="15"/>
        <v>21561.194599999999</v>
      </c>
      <c r="J256">
        <v>62619.195991463726</v>
      </c>
      <c r="K256">
        <f t="shared" si="16"/>
        <v>13776.22311812202</v>
      </c>
      <c r="L256" s="9">
        <f t="shared" si="17"/>
        <v>0.56510201781192038</v>
      </c>
      <c r="M256" t="str">
        <f t="shared" si="18"/>
        <v>Complete Data</v>
      </c>
      <c r="N256" t="str">
        <f t="shared" si="19"/>
        <v>Non-compliant</v>
      </c>
    </row>
    <row r="257" spans="1:14">
      <c r="A257" t="s">
        <v>25</v>
      </c>
      <c r="B257" t="s">
        <v>18</v>
      </c>
      <c r="C257" t="s">
        <v>26</v>
      </c>
      <c r="D257" t="s">
        <v>20</v>
      </c>
      <c r="E257" t="s">
        <v>27</v>
      </c>
      <c r="F257" s="6">
        <v>45838</v>
      </c>
      <c r="G257" t="s">
        <v>23</v>
      </c>
      <c r="H257">
        <v>8066.91</v>
      </c>
      <c r="I257">
        <f t="shared" si="15"/>
        <v>1774.7202</v>
      </c>
      <c r="J257">
        <v>7404.8859570508293</v>
      </c>
      <c r="K257">
        <f t="shared" si="16"/>
        <v>1629.0749105511825</v>
      </c>
      <c r="L257" s="9">
        <f t="shared" si="17"/>
        <v>8.9403678434615233E-2</v>
      </c>
      <c r="M257" t="str">
        <f t="shared" si="18"/>
        <v>Complete Data</v>
      </c>
      <c r="N257" t="str">
        <f t="shared" si="19"/>
        <v>Compliant</v>
      </c>
    </row>
    <row r="258" spans="1:14">
      <c r="A258" t="s">
        <v>25</v>
      </c>
      <c r="B258" t="s">
        <v>11</v>
      </c>
      <c r="C258" t="s">
        <v>26</v>
      </c>
      <c r="D258" t="s">
        <v>13</v>
      </c>
      <c r="E258" t="s">
        <v>27</v>
      </c>
      <c r="F258" s="6">
        <v>45779</v>
      </c>
      <c r="G258" t="s">
        <v>24</v>
      </c>
      <c r="H258">
        <v>181942.25</v>
      </c>
      <c r="I258">
        <f t="shared" ref="I258:I296" si="20">IF(G258="USD",H258*0.9,IF(G258="PLN",H258*0.22,IF(G258="EUR",H258,"")))</f>
        <v>163748.02499999999</v>
      </c>
      <c r="K258" t="str">
        <f t="shared" si="16"/>
        <v/>
      </c>
      <c r="L258" s="9" t="str">
        <f t="shared" si="17"/>
        <v/>
      </c>
      <c r="M258" t="str">
        <f t="shared" si="18"/>
        <v>Missing Cost Base, Margin not calculable</v>
      </c>
      <c r="N258" t="str">
        <f t="shared" si="19"/>
        <v>Unknown</v>
      </c>
    </row>
    <row r="259" spans="1:14">
      <c r="A259" t="s">
        <v>19</v>
      </c>
      <c r="B259" t="s">
        <v>25</v>
      </c>
      <c r="C259" t="s">
        <v>21</v>
      </c>
      <c r="D259" t="s">
        <v>26</v>
      </c>
      <c r="E259" t="s">
        <v>15</v>
      </c>
      <c r="F259" s="6">
        <v>45909</v>
      </c>
      <c r="G259" t="s">
        <v>24</v>
      </c>
      <c r="H259">
        <v>195792.7</v>
      </c>
      <c r="I259">
        <f t="shared" si="20"/>
        <v>176213.43000000002</v>
      </c>
      <c r="J259">
        <v>130403.146255848</v>
      </c>
      <c r="K259">
        <f t="shared" ref="K259:K296" si="21">IF(J259="","",IF(G259="EUR",J259,IF(G259="USD",J259*0.9,IF(G259="PLN",J259*0.22,""))))</f>
        <v>117362.8316302632</v>
      </c>
      <c r="L259" s="9">
        <f t="shared" ref="L259:L296" si="22">IF(K259="","",(I259-K259)/K259)</f>
        <v>0.50144153436190264</v>
      </c>
      <c r="M259" t="str">
        <f t="shared" ref="M259:M296" si="23">IF(I259="","Missing Amount, Margin not calculable",IF(K259="","Missing Cost Base, Margin not calculable","Complete Data"))</f>
        <v>Complete Data</v>
      </c>
      <c r="N259" t="str">
        <f t="shared" ref="N259:N296" si="24">IF(K259="","Unknown",IF(E259="Goods",IF(AND(L259&gt;=0.03,L259&lt;=0.08),"Compliant","Non-compliant"),IF(E259="Services",IF(AND(L259&gt;=0.05,L259&lt;=0.1),"Compliant","Non-compliant"),IF(E259="Royalties",IF(AND(L259&gt;=0.08,L259&lt;=0.15),"Compliant","Non-compliant"),"Unknown"))))</f>
        <v>Non-compliant</v>
      </c>
    </row>
    <row r="260" spans="1:14">
      <c r="A260" t="s">
        <v>18</v>
      </c>
      <c r="B260" t="s">
        <v>19</v>
      </c>
      <c r="C260" t="s">
        <v>20</v>
      </c>
      <c r="D260" t="s">
        <v>21</v>
      </c>
      <c r="E260" t="s">
        <v>22</v>
      </c>
      <c r="F260" s="6">
        <v>45844</v>
      </c>
      <c r="G260" t="s">
        <v>23</v>
      </c>
      <c r="H260">
        <v>172748.68</v>
      </c>
      <c r="I260">
        <f t="shared" si="20"/>
        <v>38004.709600000002</v>
      </c>
      <c r="J260">
        <v>142517.8725983577</v>
      </c>
      <c r="K260">
        <f t="shared" si="21"/>
        <v>31353.931971638696</v>
      </c>
      <c r="L260" s="9">
        <f t="shared" si="22"/>
        <v>0.21211941246722385</v>
      </c>
      <c r="M260" t="str">
        <f t="shared" si="23"/>
        <v>Complete Data</v>
      </c>
      <c r="N260" t="str">
        <f t="shared" si="24"/>
        <v>Non-compliant</v>
      </c>
    </row>
    <row r="261" spans="1:14">
      <c r="A261" t="s">
        <v>18</v>
      </c>
      <c r="B261" t="s">
        <v>12</v>
      </c>
      <c r="C261" t="s">
        <v>20</v>
      </c>
      <c r="D261" t="s">
        <v>14</v>
      </c>
      <c r="E261" t="s">
        <v>22</v>
      </c>
      <c r="F261" s="6">
        <v>45946</v>
      </c>
      <c r="G261" t="s">
        <v>24</v>
      </c>
      <c r="H261">
        <v>193688.81</v>
      </c>
      <c r="I261">
        <f t="shared" si="20"/>
        <v>174319.929</v>
      </c>
      <c r="J261">
        <v>159842.0815615085</v>
      </c>
      <c r="K261">
        <f t="shared" si="21"/>
        <v>143857.87340535765</v>
      </c>
      <c r="L261" s="9">
        <f t="shared" si="22"/>
        <v>0.21175104895932562</v>
      </c>
      <c r="M261" t="str">
        <f t="shared" si="23"/>
        <v>Complete Data</v>
      </c>
      <c r="N261" t="str">
        <f t="shared" si="24"/>
        <v>Non-compliant</v>
      </c>
    </row>
    <row r="262" spans="1:14">
      <c r="A262" t="s">
        <v>25</v>
      </c>
      <c r="B262" t="s">
        <v>11</v>
      </c>
      <c r="C262" t="s">
        <v>26</v>
      </c>
      <c r="D262" t="s">
        <v>13</v>
      </c>
      <c r="E262" t="s">
        <v>22</v>
      </c>
      <c r="F262" s="6">
        <v>45688</v>
      </c>
      <c r="G262" t="s">
        <v>24</v>
      </c>
      <c r="H262">
        <v>101744.17</v>
      </c>
      <c r="I262">
        <f t="shared" si="20"/>
        <v>91569.752999999997</v>
      </c>
      <c r="J262">
        <v>65790.068529345503</v>
      </c>
      <c r="K262">
        <f t="shared" si="21"/>
        <v>59211.061676410951</v>
      </c>
      <c r="L262" s="9">
        <f t="shared" si="22"/>
        <v>0.54649740111787926</v>
      </c>
      <c r="M262" t="str">
        <f t="shared" si="23"/>
        <v>Complete Data</v>
      </c>
      <c r="N262" t="str">
        <f t="shared" si="24"/>
        <v>Non-compliant</v>
      </c>
    </row>
    <row r="263" spans="1:14">
      <c r="A263" t="s">
        <v>12</v>
      </c>
      <c r="B263" t="s">
        <v>11</v>
      </c>
      <c r="C263" t="s">
        <v>14</v>
      </c>
      <c r="D263" t="s">
        <v>13</v>
      </c>
      <c r="E263" t="s">
        <v>27</v>
      </c>
      <c r="F263" s="6">
        <v>45814</v>
      </c>
      <c r="G263" t="s">
        <v>24</v>
      </c>
      <c r="H263">
        <v>167566.82999999999</v>
      </c>
      <c r="I263">
        <f t="shared" si="20"/>
        <v>150810.147</v>
      </c>
      <c r="J263">
        <v>150651.53965513999</v>
      </c>
      <c r="K263">
        <f t="shared" si="21"/>
        <v>135586.38568962598</v>
      </c>
      <c r="L263" s="9">
        <f t="shared" si="22"/>
        <v>0.11228089924325506</v>
      </c>
      <c r="M263" t="str">
        <f t="shared" si="23"/>
        <v>Complete Data</v>
      </c>
      <c r="N263" t="str">
        <f t="shared" si="24"/>
        <v>Compliant</v>
      </c>
    </row>
    <row r="264" spans="1:14">
      <c r="A264" t="s">
        <v>11</v>
      </c>
      <c r="B264" t="s">
        <v>12</v>
      </c>
      <c r="C264" t="s">
        <v>13</v>
      </c>
      <c r="D264" t="s">
        <v>14</v>
      </c>
      <c r="E264" t="s">
        <v>22</v>
      </c>
      <c r="F264" s="6">
        <v>45910</v>
      </c>
      <c r="G264" t="s">
        <v>23</v>
      </c>
      <c r="H264">
        <v>130763.63</v>
      </c>
      <c r="I264">
        <f t="shared" si="20"/>
        <v>28767.998600000003</v>
      </c>
      <c r="K264" t="str">
        <f t="shared" si="21"/>
        <v/>
      </c>
      <c r="L264" s="9" t="str">
        <f t="shared" si="22"/>
        <v/>
      </c>
      <c r="M264" t="str">
        <f t="shared" si="23"/>
        <v>Missing Cost Base, Margin not calculable</v>
      </c>
      <c r="N264" t="str">
        <f t="shared" si="24"/>
        <v>Unknown</v>
      </c>
    </row>
    <row r="265" spans="1:14">
      <c r="A265" t="s">
        <v>11</v>
      </c>
      <c r="B265" t="s">
        <v>18</v>
      </c>
      <c r="C265" t="s">
        <v>13</v>
      </c>
      <c r="D265" t="s">
        <v>20</v>
      </c>
      <c r="E265" t="s">
        <v>27</v>
      </c>
      <c r="F265" s="6">
        <v>45919</v>
      </c>
      <c r="G265" t="s">
        <v>16</v>
      </c>
      <c r="H265">
        <v>16574.66</v>
      </c>
      <c r="I265">
        <f t="shared" si="20"/>
        <v>16574.66</v>
      </c>
      <c r="J265">
        <v>11433.7200253069</v>
      </c>
      <c r="K265">
        <f t="shared" si="21"/>
        <v>11433.7200253069</v>
      </c>
      <c r="L265" s="9">
        <f t="shared" si="22"/>
        <v>0.44962968861528579</v>
      </c>
      <c r="M265" t="str">
        <f t="shared" si="23"/>
        <v>Complete Data</v>
      </c>
      <c r="N265" t="str">
        <f t="shared" si="24"/>
        <v>Non-compliant</v>
      </c>
    </row>
    <row r="266" spans="1:14">
      <c r="A266" t="s">
        <v>11</v>
      </c>
      <c r="B266" t="s">
        <v>25</v>
      </c>
      <c r="C266" t="s">
        <v>13</v>
      </c>
      <c r="D266" t="s">
        <v>26</v>
      </c>
      <c r="E266" t="s">
        <v>22</v>
      </c>
      <c r="F266" s="6">
        <v>45849</v>
      </c>
      <c r="G266" t="s">
        <v>16</v>
      </c>
      <c r="H266">
        <v>198027.27</v>
      </c>
      <c r="I266">
        <f t="shared" si="20"/>
        <v>198027.27</v>
      </c>
      <c r="J266">
        <v>122834.6392168835</v>
      </c>
      <c r="K266">
        <f t="shared" si="21"/>
        <v>122834.6392168835</v>
      </c>
      <c r="L266" s="9">
        <f t="shared" si="22"/>
        <v>0.61214516737703195</v>
      </c>
      <c r="M266" t="str">
        <f t="shared" si="23"/>
        <v>Complete Data</v>
      </c>
      <c r="N266" t="str">
        <f t="shared" si="24"/>
        <v>Non-compliant</v>
      </c>
    </row>
    <row r="267" spans="1:14">
      <c r="A267" t="s">
        <v>18</v>
      </c>
      <c r="B267" t="s">
        <v>11</v>
      </c>
      <c r="C267" t="s">
        <v>20</v>
      </c>
      <c r="D267" t="s">
        <v>13</v>
      </c>
      <c r="E267" t="s">
        <v>22</v>
      </c>
      <c r="F267" s="6">
        <v>45697</v>
      </c>
      <c r="G267" t="s">
        <v>16</v>
      </c>
      <c r="H267">
        <v>103254.74</v>
      </c>
      <c r="I267">
        <f t="shared" si="20"/>
        <v>103254.74</v>
      </c>
      <c r="J267">
        <v>92511.731497655433</v>
      </c>
      <c r="K267">
        <f t="shared" si="21"/>
        <v>92511.731497655433</v>
      </c>
      <c r="L267" s="9">
        <f t="shared" si="22"/>
        <v>0.11612590455748671</v>
      </c>
      <c r="M267" t="str">
        <f t="shared" si="23"/>
        <v>Complete Data</v>
      </c>
      <c r="N267" t="str">
        <f t="shared" si="24"/>
        <v>Non-compliant</v>
      </c>
    </row>
    <row r="268" spans="1:14">
      <c r="A268" t="s">
        <v>19</v>
      </c>
      <c r="B268" t="s">
        <v>12</v>
      </c>
      <c r="C268" t="s">
        <v>21</v>
      </c>
      <c r="D268" t="s">
        <v>14</v>
      </c>
      <c r="E268" t="s">
        <v>22</v>
      </c>
      <c r="F268" s="6">
        <v>45801</v>
      </c>
      <c r="G268" t="s">
        <v>24</v>
      </c>
      <c r="H268">
        <v>149658.79</v>
      </c>
      <c r="I268">
        <f t="shared" si="20"/>
        <v>134692.91100000002</v>
      </c>
      <c r="J268">
        <v>106463.7169996427</v>
      </c>
      <c r="K268">
        <f t="shared" si="21"/>
        <v>95817.345299678433</v>
      </c>
      <c r="L268" s="9">
        <f t="shared" si="22"/>
        <v>0.40572576477394912</v>
      </c>
      <c r="M268" t="str">
        <f t="shared" si="23"/>
        <v>Complete Data</v>
      </c>
      <c r="N268" t="str">
        <f t="shared" si="24"/>
        <v>Non-compliant</v>
      </c>
    </row>
    <row r="269" spans="1:14">
      <c r="A269" t="s">
        <v>25</v>
      </c>
      <c r="B269" t="s">
        <v>18</v>
      </c>
      <c r="C269" t="s">
        <v>26</v>
      </c>
      <c r="D269" t="s">
        <v>20</v>
      </c>
      <c r="E269" t="s">
        <v>27</v>
      </c>
      <c r="F269" s="6">
        <v>45998</v>
      </c>
      <c r="G269" t="s">
        <v>24</v>
      </c>
      <c r="H269">
        <v>22148.04</v>
      </c>
      <c r="I269">
        <f t="shared" si="20"/>
        <v>19933.236000000001</v>
      </c>
      <c r="J269">
        <v>14222.14920283798</v>
      </c>
      <c r="K269">
        <f t="shared" si="21"/>
        <v>12799.934282554183</v>
      </c>
      <c r="L269" s="9">
        <f t="shared" si="22"/>
        <v>0.55729205791065928</v>
      </c>
      <c r="M269" t="str">
        <f t="shared" si="23"/>
        <v>Complete Data</v>
      </c>
      <c r="N269" t="str">
        <f t="shared" si="24"/>
        <v>Non-compliant</v>
      </c>
    </row>
    <row r="270" spans="1:14">
      <c r="A270" t="s">
        <v>11</v>
      </c>
      <c r="B270" t="s">
        <v>18</v>
      </c>
      <c r="C270" t="s">
        <v>13</v>
      </c>
      <c r="D270" t="s">
        <v>20</v>
      </c>
      <c r="E270" t="s">
        <v>15</v>
      </c>
      <c r="F270" s="6">
        <v>45974</v>
      </c>
      <c r="G270" t="s">
        <v>23</v>
      </c>
      <c r="H270">
        <v>186819.67</v>
      </c>
      <c r="I270">
        <f t="shared" si="20"/>
        <v>41100.327400000002</v>
      </c>
      <c r="K270" t="str">
        <f t="shared" si="21"/>
        <v/>
      </c>
      <c r="L270" s="9" t="str">
        <f t="shared" si="22"/>
        <v/>
      </c>
      <c r="M270" t="str">
        <f t="shared" si="23"/>
        <v>Missing Cost Base, Margin not calculable</v>
      </c>
      <c r="N270" t="str">
        <f t="shared" si="24"/>
        <v>Unknown</v>
      </c>
    </row>
    <row r="271" spans="1:14">
      <c r="A271" t="s">
        <v>19</v>
      </c>
      <c r="B271" t="s">
        <v>11</v>
      </c>
      <c r="C271" t="s">
        <v>21</v>
      </c>
      <c r="D271" t="s">
        <v>13</v>
      </c>
      <c r="E271" t="s">
        <v>27</v>
      </c>
      <c r="F271" s="6">
        <v>46015</v>
      </c>
      <c r="G271" t="s">
        <v>24</v>
      </c>
      <c r="H271">
        <v>162516.88</v>
      </c>
      <c r="I271">
        <f t="shared" si="20"/>
        <v>146265.19200000001</v>
      </c>
      <c r="J271">
        <v>126299.326174815</v>
      </c>
      <c r="K271">
        <f t="shared" si="21"/>
        <v>113669.3935573335</v>
      </c>
      <c r="L271" s="9">
        <f t="shared" si="22"/>
        <v>0.28675967578049555</v>
      </c>
      <c r="M271" t="str">
        <f t="shared" si="23"/>
        <v>Complete Data</v>
      </c>
      <c r="N271" t="str">
        <f t="shared" si="24"/>
        <v>Non-compliant</v>
      </c>
    </row>
    <row r="272" spans="1:14">
      <c r="A272" t="s">
        <v>19</v>
      </c>
      <c r="B272" t="s">
        <v>18</v>
      </c>
      <c r="C272" t="s">
        <v>21</v>
      </c>
      <c r="D272" t="s">
        <v>20</v>
      </c>
      <c r="E272" t="s">
        <v>22</v>
      </c>
      <c r="F272" s="6">
        <v>45682</v>
      </c>
      <c r="G272" t="s">
        <v>23</v>
      </c>
      <c r="H272">
        <v>166551.29</v>
      </c>
      <c r="I272">
        <f t="shared" si="20"/>
        <v>36641.283800000005</v>
      </c>
      <c r="J272">
        <v>110335.7646417573</v>
      </c>
      <c r="K272">
        <f t="shared" si="21"/>
        <v>24273.868221186607</v>
      </c>
      <c r="L272" s="9">
        <f t="shared" si="22"/>
        <v>0.50949504488200714</v>
      </c>
      <c r="M272" t="str">
        <f t="shared" si="23"/>
        <v>Complete Data</v>
      </c>
      <c r="N272" t="str">
        <f t="shared" si="24"/>
        <v>Non-compliant</v>
      </c>
    </row>
    <row r="273" spans="1:14">
      <c r="A273" t="s">
        <v>12</v>
      </c>
      <c r="B273" t="s">
        <v>18</v>
      </c>
      <c r="C273" t="s">
        <v>14</v>
      </c>
      <c r="D273" t="s">
        <v>20</v>
      </c>
      <c r="E273" t="s">
        <v>27</v>
      </c>
      <c r="F273" s="6">
        <v>45869</v>
      </c>
      <c r="G273" t="s">
        <v>23</v>
      </c>
      <c r="H273">
        <v>166575.31</v>
      </c>
      <c r="I273">
        <f t="shared" si="20"/>
        <v>36646.568200000002</v>
      </c>
      <c r="K273" t="str">
        <f t="shared" si="21"/>
        <v/>
      </c>
      <c r="L273" s="9" t="str">
        <f t="shared" si="22"/>
        <v/>
      </c>
      <c r="M273" t="str">
        <f t="shared" si="23"/>
        <v>Missing Cost Base, Margin not calculable</v>
      </c>
      <c r="N273" t="str">
        <f t="shared" si="24"/>
        <v>Unknown</v>
      </c>
    </row>
    <row r="274" spans="1:14">
      <c r="A274" t="s">
        <v>25</v>
      </c>
      <c r="B274" t="s">
        <v>11</v>
      </c>
      <c r="C274" t="s">
        <v>26</v>
      </c>
      <c r="D274" t="s">
        <v>13</v>
      </c>
      <c r="E274" t="s">
        <v>22</v>
      </c>
      <c r="F274" s="6">
        <v>45919</v>
      </c>
      <c r="G274" t="s">
        <v>23</v>
      </c>
      <c r="H274">
        <v>97050.01</v>
      </c>
      <c r="I274">
        <f t="shared" si="20"/>
        <v>21351.002199999999</v>
      </c>
      <c r="J274">
        <v>75651.79042350738</v>
      </c>
      <c r="K274">
        <f t="shared" si="21"/>
        <v>16643.393893171622</v>
      </c>
      <c r="L274" s="9">
        <f t="shared" si="22"/>
        <v>0.28285146269113981</v>
      </c>
      <c r="M274" t="str">
        <f t="shared" si="23"/>
        <v>Complete Data</v>
      </c>
      <c r="N274" t="str">
        <f t="shared" si="24"/>
        <v>Non-compliant</v>
      </c>
    </row>
    <row r="275" spans="1:14">
      <c r="A275" t="s">
        <v>19</v>
      </c>
      <c r="B275" t="s">
        <v>12</v>
      </c>
      <c r="C275" t="s">
        <v>21</v>
      </c>
      <c r="D275" t="s">
        <v>14</v>
      </c>
      <c r="E275" t="s">
        <v>15</v>
      </c>
      <c r="F275" s="6">
        <v>45999</v>
      </c>
      <c r="G275" t="s">
        <v>24</v>
      </c>
      <c r="H275">
        <v>112648.48</v>
      </c>
      <c r="I275">
        <f t="shared" si="20"/>
        <v>101383.632</v>
      </c>
      <c r="J275">
        <v>105153.00262139</v>
      </c>
      <c r="K275">
        <f t="shared" si="21"/>
        <v>94637.702359250994</v>
      </c>
      <c r="L275" s="9">
        <f t="shared" si="22"/>
        <v>7.1281629546974923E-2</v>
      </c>
      <c r="M275" t="str">
        <f t="shared" si="23"/>
        <v>Complete Data</v>
      </c>
      <c r="N275" t="str">
        <f t="shared" si="24"/>
        <v>Compliant</v>
      </c>
    </row>
    <row r="276" spans="1:14">
      <c r="A276" t="s">
        <v>25</v>
      </c>
      <c r="B276" t="s">
        <v>19</v>
      </c>
      <c r="C276" t="s">
        <v>26</v>
      </c>
      <c r="D276" t="s">
        <v>21</v>
      </c>
      <c r="E276" t="s">
        <v>22</v>
      </c>
      <c r="F276" s="6">
        <v>45793</v>
      </c>
      <c r="G276" t="s">
        <v>23</v>
      </c>
      <c r="H276">
        <v>61157.440000000002</v>
      </c>
      <c r="I276">
        <f t="shared" si="20"/>
        <v>13454.6368</v>
      </c>
      <c r="J276">
        <v>55502.293578781471</v>
      </c>
      <c r="K276">
        <f t="shared" si="21"/>
        <v>12210.504587331923</v>
      </c>
      <c r="L276" s="9">
        <f t="shared" si="22"/>
        <v>0.10189031941880858</v>
      </c>
      <c r="M276" t="str">
        <f t="shared" si="23"/>
        <v>Complete Data</v>
      </c>
      <c r="N276" t="str">
        <f t="shared" si="24"/>
        <v>Non-compliant</v>
      </c>
    </row>
    <row r="277" spans="1:14">
      <c r="A277" t="s">
        <v>25</v>
      </c>
      <c r="B277" t="s">
        <v>19</v>
      </c>
      <c r="C277" t="s">
        <v>26</v>
      </c>
      <c r="D277" t="s">
        <v>21</v>
      </c>
      <c r="E277" t="s">
        <v>22</v>
      </c>
      <c r="F277" s="6">
        <v>45782</v>
      </c>
      <c r="G277" t="s">
        <v>23</v>
      </c>
      <c r="H277">
        <v>5201.42</v>
      </c>
      <c r="I277">
        <f t="shared" si="20"/>
        <v>1144.3124</v>
      </c>
      <c r="J277">
        <v>3455.3490481020249</v>
      </c>
      <c r="K277">
        <f t="shared" si="21"/>
        <v>760.17679058244551</v>
      </c>
      <c r="L277" s="9">
        <f t="shared" si="22"/>
        <v>0.50532404327055391</v>
      </c>
      <c r="M277" t="str">
        <f t="shared" si="23"/>
        <v>Complete Data</v>
      </c>
      <c r="N277" t="str">
        <f t="shared" si="24"/>
        <v>Non-compliant</v>
      </c>
    </row>
    <row r="278" spans="1:14">
      <c r="A278" t="s">
        <v>25</v>
      </c>
      <c r="B278" t="s">
        <v>12</v>
      </c>
      <c r="C278" t="s">
        <v>26</v>
      </c>
      <c r="D278" t="s">
        <v>14</v>
      </c>
      <c r="E278" t="s">
        <v>22</v>
      </c>
      <c r="F278" s="6">
        <v>45869</v>
      </c>
      <c r="G278" t="s">
        <v>23</v>
      </c>
      <c r="H278">
        <v>110510.71</v>
      </c>
      <c r="I278">
        <f t="shared" si="20"/>
        <v>24312.356200000002</v>
      </c>
      <c r="J278">
        <v>92953.893216660275</v>
      </c>
      <c r="K278">
        <f t="shared" si="21"/>
        <v>20449.856507665259</v>
      </c>
      <c r="L278" s="9">
        <f t="shared" si="22"/>
        <v>0.18887661587683779</v>
      </c>
      <c r="M278" t="str">
        <f t="shared" si="23"/>
        <v>Complete Data</v>
      </c>
      <c r="N278" t="str">
        <f t="shared" si="24"/>
        <v>Non-compliant</v>
      </c>
    </row>
    <row r="279" spans="1:14">
      <c r="A279" t="s">
        <v>12</v>
      </c>
      <c r="B279" t="s">
        <v>19</v>
      </c>
      <c r="C279" t="s">
        <v>14</v>
      </c>
      <c r="D279" t="s">
        <v>21</v>
      </c>
      <c r="E279" t="s">
        <v>27</v>
      </c>
      <c r="F279" s="6">
        <v>45854</v>
      </c>
      <c r="G279" t="s">
        <v>23</v>
      </c>
      <c r="H279">
        <v>12210.14</v>
      </c>
      <c r="I279">
        <f t="shared" si="20"/>
        <v>2686.2307999999998</v>
      </c>
      <c r="J279">
        <v>10107.443266135169</v>
      </c>
      <c r="K279">
        <f t="shared" si="21"/>
        <v>2223.6375185497373</v>
      </c>
      <c r="L279" s="9">
        <f t="shared" si="22"/>
        <v>0.20803448295474311</v>
      </c>
      <c r="M279" t="str">
        <f t="shared" si="23"/>
        <v>Complete Data</v>
      </c>
      <c r="N279" t="str">
        <f t="shared" si="24"/>
        <v>Non-compliant</v>
      </c>
    </row>
    <row r="280" spans="1:14">
      <c r="A280" t="s">
        <v>19</v>
      </c>
      <c r="B280" t="s">
        <v>11</v>
      </c>
      <c r="C280" t="s">
        <v>21</v>
      </c>
      <c r="D280" t="s">
        <v>13</v>
      </c>
      <c r="E280" t="s">
        <v>15</v>
      </c>
      <c r="F280" s="6">
        <v>45743</v>
      </c>
      <c r="G280" t="s">
        <v>23</v>
      </c>
      <c r="H280">
        <v>144942.01999999999</v>
      </c>
      <c r="I280">
        <f t="shared" si="20"/>
        <v>31887.2444</v>
      </c>
      <c r="J280">
        <v>128542.8914755291</v>
      </c>
      <c r="K280">
        <f t="shared" si="21"/>
        <v>28279.436124616404</v>
      </c>
      <c r="L280" s="9">
        <f t="shared" si="22"/>
        <v>0.12757709381068974</v>
      </c>
      <c r="M280" t="str">
        <f t="shared" si="23"/>
        <v>Complete Data</v>
      </c>
      <c r="N280" t="str">
        <f t="shared" si="24"/>
        <v>Non-compliant</v>
      </c>
    </row>
    <row r="281" spans="1:14">
      <c r="A281" t="s">
        <v>11</v>
      </c>
      <c r="B281" t="s">
        <v>25</v>
      </c>
      <c r="C281" t="s">
        <v>13</v>
      </c>
      <c r="D281" t="s">
        <v>26</v>
      </c>
      <c r="E281" t="s">
        <v>15</v>
      </c>
      <c r="F281" s="6">
        <v>45823</v>
      </c>
      <c r="G281" t="s">
        <v>23</v>
      </c>
      <c r="H281">
        <v>104153.99</v>
      </c>
      <c r="I281">
        <f t="shared" si="20"/>
        <v>22913.877800000002</v>
      </c>
      <c r="K281" t="str">
        <f t="shared" si="21"/>
        <v/>
      </c>
      <c r="L281" s="9" t="str">
        <f t="shared" si="22"/>
        <v/>
      </c>
      <c r="M281" t="str">
        <f t="shared" si="23"/>
        <v>Missing Cost Base, Margin not calculable</v>
      </c>
      <c r="N281" t="str">
        <f t="shared" si="24"/>
        <v>Unknown</v>
      </c>
    </row>
    <row r="282" spans="1:14">
      <c r="A282" t="s">
        <v>19</v>
      </c>
      <c r="B282" t="s">
        <v>18</v>
      </c>
      <c r="C282" t="s">
        <v>21</v>
      </c>
      <c r="D282" t="s">
        <v>20</v>
      </c>
      <c r="E282" t="s">
        <v>22</v>
      </c>
      <c r="F282" s="6">
        <v>45693</v>
      </c>
      <c r="G282" t="s">
        <v>24</v>
      </c>
      <c r="H282">
        <v>112919.57</v>
      </c>
      <c r="I282">
        <f t="shared" si="20"/>
        <v>101627.61300000001</v>
      </c>
      <c r="J282">
        <v>95651.297147206526</v>
      </c>
      <c r="K282">
        <f t="shared" si="21"/>
        <v>86086.167432485876</v>
      </c>
      <c r="L282" s="9">
        <f t="shared" si="22"/>
        <v>0.18053359826597815</v>
      </c>
      <c r="M282" t="str">
        <f t="shared" si="23"/>
        <v>Complete Data</v>
      </c>
      <c r="N282" t="str">
        <f t="shared" si="24"/>
        <v>Non-compliant</v>
      </c>
    </row>
    <row r="283" spans="1:14">
      <c r="A283" t="s">
        <v>25</v>
      </c>
      <c r="B283" t="s">
        <v>11</v>
      </c>
      <c r="C283" t="s">
        <v>26</v>
      </c>
      <c r="D283" t="s">
        <v>13</v>
      </c>
      <c r="E283" t="s">
        <v>15</v>
      </c>
      <c r="F283" s="6">
        <v>45786</v>
      </c>
      <c r="G283" t="s">
        <v>16</v>
      </c>
      <c r="H283">
        <v>120886.72</v>
      </c>
      <c r="I283">
        <f t="shared" si="20"/>
        <v>120886.72</v>
      </c>
      <c r="J283">
        <v>108310.29870846641</v>
      </c>
      <c r="K283">
        <f t="shared" si="21"/>
        <v>108310.29870846641</v>
      </c>
      <c r="L283" s="9">
        <f t="shared" si="22"/>
        <v>0.11611473185375419</v>
      </c>
      <c r="M283" t="str">
        <f t="shared" si="23"/>
        <v>Complete Data</v>
      </c>
      <c r="N283" t="str">
        <f t="shared" si="24"/>
        <v>Non-compliant</v>
      </c>
    </row>
    <row r="284" spans="1:14">
      <c r="A284" t="s">
        <v>12</v>
      </c>
      <c r="B284" t="s">
        <v>19</v>
      </c>
      <c r="C284" t="s">
        <v>14</v>
      </c>
      <c r="D284" t="s">
        <v>21</v>
      </c>
      <c r="E284" t="s">
        <v>22</v>
      </c>
      <c r="F284" s="6">
        <v>45963</v>
      </c>
      <c r="G284" t="s">
        <v>16</v>
      </c>
      <c r="H284">
        <v>100117.3</v>
      </c>
      <c r="I284">
        <f t="shared" si="20"/>
        <v>100117.3</v>
      </c>
      <c r="J284">
        <v>81740.222662812419</v>
      </c>
      <c r="K284">
        <f t="shared" si="21"/>
        <v>81740.222662812419</v>
      </c>
      <c r="L284" s="9">
        <f t="shared" si="22"/>
        <v>0.22482294198041383</v>
      </c>
      <c r="M284" t="str">
        <f t="shared" si="23"/>
        <v>Complete Data</v>
      </c>
      <c r="N284" t="str">
        <f t="shared" si="24"/>
        <v>Non-compliant</v>
      </c>
    </row>
    <row r="285" spans="1:14">
      <c r="A285" t="s">
        <v>11</v>
      </c>
      <c r="B285" t="s">
        <v>25</v>
      </c>
      <c r="C285" t="s">
        <v>13</v>
      </c>
      <c r="D285" t="s">
        <v>26</v>
      </c>
      <c r="E285" t="s">
        <v>22</v>
      </c>
      <c r="F285" s="6">
        <v>45753</v>
      </c>
      <c r="G285" t="s">
        <v>24</v>
      </c>
      <c r="H285">
        <v>188186.68</v>
      </c>
      <c r="I285">
        <f t="shared" si="20"/>
        <v>169368.01199999999</v>
      </c>
      <c r="J285">
        <v>167590.5481885857</v>
      </c>
      <c r="K285">
        <f t="shared" si="21"/>
        <v>150831.49336972713</v>
      </c>
      <c r="L285" s="9">
        <f t="shared" si="22"/>
        <v>0.12289554532775882</v>
      </c>
      <c r="M285" t="str">
        <f t="shared" si="23"/>
        <v>Complete Data</v>
      </c>
      <c r="N285" t="str">
        <f t="shared" si="24"/>
        <v>Non-compliant</v>
      </c>
    </row>
    <row r="286" spans="1:14">
      <c r="A286" t="s">
        <v>11</v>
      </c>
      <c r="B286" t="s">
        <v>25</v>
      </c>
      <c r="C286" t="s">
        <v>13</v>
      </c>
      <c r="D286" t="s">
        <v>26</v>
      </c>
      <c r="E286" t="s">
        <v>22</v>
      </c>
      <c r="F286" s="6">
        <v>45911</v>
      </c>
      <c r="G286" t="s">
        <v>24</v>
      </c>
      <c r="H286">
        <v>51826.31</v>
      </c>
      <c r="I286">
        <f t="shared" si="20"/>
        <v>46643.678999999996</v>
      </c>
      <c r="J286">
        <v>37694.537544706844</v>
      </c>
      <c r="K286">
        <f t="shared" si="21"/>
        <v>33925.08379023616</v>
      </c>
      <c r="L286" s="9">
        <f t="shared" si="22"/>
        <v>0.37490239636266787</v>
      </c>
      <c r="M286" t="str">
        <f t="shared" si="23"/>
        <v>Complete Data</v>
      </c>
      <c r="N286" t="str">
        <f t="shared" si="24"/>
        <v>Non-compliant</v>
      </c>
    </row>
    <row r="287" spans="1:14">
      <c r="A287" t="s">
        <v>18</v>
      </c>
      <c r="B287" t="s">
        <v>25</v>
      </c>
      <c r="C287" t="s">
        <v>20</v>
      </c>
      <c r="D287" t="s">
        <v>26</v>
      </c>
      <c r="E287" t="s">
        <v>22</v>
      </c>
      <c r="F287" s="6">
        <v>45714</v>
      </c>
      <c r="G287" t="s">
        <v>23</v>
      </c>
      <c r="H287">
        <v>156768.67000000001</v>
      </c>
      <c r="I287">
        <f t="shared" si="20"/>
        <v>34489.107400000001</v>
      </c>
      <c r="J287">
        <v>147477.2419616273</v>
      </c>
      <c r="K287">
        <f t="shared" si="21"/>
        <v>32444.993231558004</v>
      </c>
      <c r="L287" s="9">
        <f t="shared" si="22"/>
        <v>6.3002453224547589E-2</v>
      </c>
      <c r="M287" t="str">
        <f t="shared" si="23"/>
        <v>Complete Data</v>
      </c>
      <c r="N287" t="str">
        <f t="shared" si="24"/>
        <v>Compliant</v>
      </c>
    </row>
    <row r="288" spans="1:14">
      <c r="A288" t="s">
        <v>19</v>
      </c>
      <c r="B288" t="s">
        <v>11</v>
      </c>
      <c r="C288" t="s">
        <v>21</v>
      </c>
      <c r="D288" t="s">
        <v>13</v>
      </c>
      <c r="E288" t="s">
        <v>27</v>
      </c>
      <c r="F288" s="6">
        <v>45733</v>
      </c>
      <c r="G288" t="s">
        <v>23</v>
      </c>
      <c r="H288">
        <v>163749.10999999999</v>
      </c>
      <c r="I288">
        <f t="shared" si="20"/>
        <v>36024.804199999999</v>
      </c>
      <c r="J288">
        <v>100835.0381984967</v>
      </c>
      <c r="K288">
        <f t="shared" si="21"/>
        <v>22183.708403669272</v>
      </c>
      <c r="L288" s="9">
        <f t="shared" si="22"/>
        <v>0.62393065868289876</v>
      </c>
      <c r="M288" t="str">
        <f t="shared" si="23"/>
        <v>Complete Data</v>
      </c>
      <c r="N288" t="str">
        <f t="shared" si="24"/>
        <v>Non-compliant</v>
      </c>
    </row>
    <row r="289" spans="1:14">
      <c r="A289" t="s">
        <v>25</v>
      </c>
      <c r="B289" t="s">
        <v>19</v>
      </c>
      <c r="C289" t="s">
        <v>26</v>
      </c>
      <c r="D289" t="s">
        <v>21</v>
      </c>
      <c r="E289" t="s">
        <v>27</v>
      </c>
      <c r="F289" s="6">
        <v>45908</v>
      </c>
      <c r="G289" t="s">
        <v>23</v>
      </c>
      <c r="H289">
        <v>11365.55</v>
      </c>
      <c r="I289">
        <f t="shared" si="20"/>
        <v>2500.4209999999998</v>
      </c>
      <c r="J289">
        <v>7850.4847987964058</v>
      </c>
      <c r="K289">
        <f t="shared" si="21"/>
        <v>1727.1066557352092</v>
      </c>
      <c r="L289" s="9">
        <f t="shared" si="22"/>
        <v>0.44775135438036961</v>
      </c>
      <c r="M289" t="str">
        <f t="shared" si="23"/>
        <v>Complete Data</v>
      </c>
      <c r="N289" t="str">
        <f t="shared" si="24"/>
        <v>Non-compliant</v>
      </c>
    </row>
    <row r="290" spans="1:14">
      <c r="A290" t="s">
        <v>18</v>
      </c>
      <c r="B290" t="s">
        <v>12</v>
      </c>
      <c r="C290" t="s">
        <v>20</v>
      </c>
      <c r="D290" t="s">
        <v>14</v>
      </c>
      <c r="E290" t="s">
        <v>22</v>
      </c>
      <c r="F290" s="6">
        <v>45814</v>
      </c>
      <c r="G290" t="s">
        <v>16</v>
      </c>
      <c r="H290">
        <v>160933.85999999999</v>
      </c>
      <c r="I290">
        <f t="shared" si="20"/>
        <v>160933.85999999999</v>
      </c>
      <c r="J290">
        <v>126619.087994856</v>
      </c>
      <c r="K290">
        <f t="shared" si="21"/>
        <v>126619.087994856</v>
      </c>
      <c r="L290" s="9">
        <f t="shared" si="22"/>
        <v>0.27100789105776885</v>
      </c>
      <c r="M290" t="str">
        <f t="shared" si="23"/>
        <v>Complete Data</v>
      </c>
      <c r="N290" t="str">
        <f t="shared" si="24"/>
        <v>Non-compliant</v>
      </c>
    </row>
    <row r="291" spans="1:14">
      <c r="A291" t="s">
        <v>25</v>
      </c>
      <c r="B291" t="s">
        <v>11</v>
      </c>
      <c r="C291" t="s">
        <v>26</v>
      </c>
      <c r="D291" t="s">
        <v>13</v>
      </c>
      <c r="E291" t="s">
        <v>27</v>
      </c>
      <c r="F291" s="6">
        <v>45846</v>
      </c>
      <c r="G291" t="s">
        <v>16</v>
      </c>
      <c r="H291">
        <v>51828.29</v>
      </c>
      <c r="I291">
        <f t="shared" si="20"/>
        <v>51828.29</v>
      </c>
      <c r="J291">
        <v>46883.33513268461</v>
      </c>
      <c r="K291">
        <f t="shared" si="21"/>
        <v>46883.33513268461</v>
      </c>
      <c r="L291" s="9">
        <f t="shared" si="22"/>
        <v>0.1054736155890076</v>
      </c>
      <c r="M291" t="str">
        <f t="shared" si="23"/>
        <v>Complete Data</v>
      </c>
      <c r="N291" t="str">
        <f t="shared" si="24"/>
        <v>Compliant</v>
      </c>
    </row>
    <row r="292" spans="1:14">
      <c r="A292" t="s">
        <v>11</v>
      </c>
      <c r="B292" t="s">
        <v>18</v>
      </c>
      <c r="C292" t="s">
        <v>13</v>
      </c>
      <c r="D292" t="s">
        <v>20</v>
      </c>
      <c r="E292" t="s">
        <v>15</v>
      </c>
      <c r="F292" s="6">
        <v>45826</v>
      </c>
      <c r="G292" t="s">
        <v>16</v>
      </c>
      <c r="H292">
        <v>39704.61</v>
      </c>
      <c r="I292">
        <f t="shared" si="20"/>
        <v>39704.61</v>
      </c>
      <c r="J292">
        <v>36550.893732315533</v>
      </c>
      <c r="K292">
        <f t="shared" si="21"/>
        <v>36550.893732315533</v>
      </c>
      <c r="L292" s="9">
        <f t="shared" si="22"/>
        <v>8.628287698738786E-2</v>
      </c>
      <c r="M292" t="str">
        <f t="shared" si="23"/>
        <v>Complete Data</v>
      </c>
      <c r="N292" t="str">
        <f t="shared" si="24"/>
        <v>Compliant</v>
      </c>
    </row>
    <row r="293" spans="1:14">
      <c r="A293" t="s">
        <v>18</v>
      </c>
      <c r="B293" t="s">
        <v>12</v>
      </c>
      <c r="C293" t="s">
        <v>20</v>
      </c>
      <c r="D293" t="s">
        <v>14</v>
      </c>
      <c r="E293" t="s">
        <v>15</v>
      </c>
      <c r="F293" s="6">
        <v>45991</v>
      </c>
      <c r="G293" t="s">
        <v>16</v>
      </c>
      <c r="H293">
        <v>73743.850000000006</v>
      </c>
      <c r="I293">
        <f t="shared" si="20"/>
        <v>73743.850000000006</v>
      </c>
      <c r="J293">
        <v>45319.355425274312</v>
      </c>
      <c r="K293">
        <f t="shared" si="21"/>
        <v>45319.355425274312</v>
      </c>
      <c r="L293" s="9">
        <f t="shared" si="22"/>
        <v>0.62720429953144341</v>
      </c>
      <c r="M293" t="str">
        <f t="shared" si="23"/>
        <v>Complete Data</v>
      </c>
      <c r="N293" t="str">
        <f t="shared" si="24"/>
        <v>Non-compliant</v>
      </c>
    </row>
    <row r="294" spans="1:14">
      <c r="A294" t="s">
        <v>11</v>
      </c>
      <c r="B294" t="s">
        <v>12</v>
      </c>
      <c r="C294" t="s">
        <v>13</v>
      </c>
      <c r="D294" t="s">
        <v>14</v>
      </c>
      <c r="E294" t="s">
        <v>22</v>
      </c>
      <c r="F294" s="6">
        <v>45812</v>
      </c>
      <c r="G294" t="s">
        <v>24</v>
      </c>
      <c r="H294">
        <v>123694.32</v>
      </c>
      <c r="I294">
        <f t="shared" si="20"/>
        <v>111324.88800000001</v>
      </c>
      <c r="J294">
        <v>116251.1062293131</v>
      </c>
      <c r="K294">
        <f t="shared" si="21"/>
        <v>104625.9956063818</v>
      </c>
      <c r="L294" s="9">
        <f t="shared" si="22"/>
        <v>6.4027036061099177E-2</v>
      </c>
      <c r="M294" t="str">
        <f t="shared" si="23"/>
        <v>Complete Data</v>
      </c>
      <c r="N294" t="str">
        <f t="shared" si="24"/>
        <v>Compliant</v>
      </c>
    </row>
    <row r="295" spans="1:14">
      <c r="A295" t="s">
        <v>18</v>
      </c>
      <c r="B295" t="s">
        <v>12</v>
      </c>
      <c r="C295" t="s">
        <v>20</v>
      </c>
      <c r="D295" t="s">
        <v>14</v>
      </c>
      <c r="E295" t="s">
        <v>22</v>
      </c>
      <c r="F295" s="6">
        <v>45825</v>
      </c>
      <c r="G295" t="s">
        <v>24</v>
      </c>
      <c r="H295">
        <v>101648.12</v>
      </c>
      <c r="I295">
        <f t="shared" si="20"/>
        <v>91483.308000000005</v>
      </c>
      <c r="J295">
        <v>78104.595692165181</v>
      </c>
      <c r="K295">
        <f t="shared" si="21"/>
        <v>70294.136122948665</v>
      </c>
      <c r="L295" s="9">
        <f t="shared" si="22"/>
        <v>0.3014358386877421</v>
      </c>
      <c r="M295" t="str">
        <f t="shared" si="23"/>
        <v>Complete Data</v>
      </c>
      <c r="N295" t="str">
        <f t="shared" si="24"/>
        <v>Non-compliant</v>
      </c>
    </row>
    <row r="296" spans="1:14">
      <c r="A296" t="s">
        <v>12</v>
      </c>
      <c r="B296" t="s">
        <v>25</v>
      </c>
      <c r="C296" t="s">
        <v>14</v>
      </c>
      <c r="D296" t="s">
        <v>26</v>
      </c>
      <c r="E296" t="s">
        <v>27</v>
      </c>
      <c r="F296" s="6">
        <v>45690</v>
      </c>
      <c r="G296" t="s">
        <v>24</v>
      </c>
      <c r="H296">
        <v>82093.34</v>
      </c>
      <c r="I296">
        <f t="shared" si="20"/>
        <v>73884.005999999994</v>
      </c>
      <c r="J296">
        <v>64415.978159756967</v>
      </c>
      <c r="K296">
        <f t="shared" si="21"/>
        <v>57974.380343781275</v>
      </c>
      <c r="L296" s="9">
        <f t="shared" si="22"/>
        <v>0.27442510919265556</v>
      </c>
      <c r="M296" t="str">
        <f t="shared" si="23"/>
        <v>Complete Data</v>
      </c>
      <c r="N296" t="str">
        <f t="shared" si="24"/>
        <v>Non-compliant</v>
      </c>
    </row>
  </sheetData>
  <autoFilter ref="A1:N296" xr:uid="{F0C4819D-F729-364E-9310-120DB0CA0DD9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A1FC-82B6-B24B-B34F-A9B1E281B51D}">
  <dimension ref="A3:E28"/>
  <sheetViews>
    <sheetView zoomScale="101" workbookViewId="0">
      <selection activeCell="F9" sqref="F9"/>
    </sheetView>
  </sheetViews>
  <sheetFormatPr baseColWidth="10" defaultRowHeight="15"/>
  <cols>
    <col min="1" max="3" width="12.6640625" bestFit="1" customWidth="1"/>
    <col min="4" max="4" width="8.5" bestFit="1" customWidth="1"/>
    <col min="5" max="5" width="10" bestFit="1" customWidth="1"/>
  </cols>
  <sheetData>
    <row r="3" spans="1:5">
      <c r="A3" s="20" t="s">
        <v>41</v>
      </c>
      <c r="B3" t="s">
        <v>48</v>
      </c>
    </row>
    <row r="4" spans="1:5">
      <c r="A4" s="21" t="s">
        <v>42</v>
      </c>
      <c r="B4" s="9">
        <v>0.10508474576271186</v>
      </c>
    </row>
    <row r="5" spans="1:5">
      <c r="A5" s="21" t="s">
        <v>43</v>
      </c>
      <c r="B5" s="9">
        <v>0.76949152542372878</v>
      </c>
    </row>
    <row r="6" spans="1:5">
      <c r="A6" s="21" t="s">
        <v>44</v>
      </c>
      <c r="B6" s="9">
        <v>0.12542372881355932</v>
      </c>
    </row>
    <row r="7" spans="1:5">
      <c r="A7" s="21" t="s">
        <v>45</v>
      </c>
      <c r="B7" s="9">
        <v>1</v>
      </c>
    </row>
    <row r="11" spans="1:5">
      <c r="A11" s="20" t="s">
        <v>48</v>
      </c>
      <c r="B11" s="20" t="s">
        <v>46</v>
      </c>
    </row>
    <row r="12" spans="1:5">
      <c r="A12" s="20" t="s">
        <v>41</v>
      </c>
      <c r="B12" t="s">
        <v>42</v>
      </c>
      <c r="C12" t="s">
        <v>43</v>
      </c>
      <c r="D12" t="s">
        <v>44</v>
      </c>
      <c r="E12" t="s">
        <v>45</v>
      </c>
    </row>
    <row r="13" spans="1:5">
      <c r="A13" s="21" t="s">
        <v>26</v>
      </c>
      <c r="B13" s="9">
        <v>2.3728813559322035E-2</v>
      </c>
      <c r="C13" s="9">
        <v>0.17627118644067796</v>
      </c>
      <c r="D13" s="9">
        <v>2.3728813559322035E-2</v>
      </c>
      <c r="E13" s="9">
        <v>0.22372881355932203</v>
      </c>
    </row>
    <row r="14" spans="1:5">
      <c r="A14" s="21" t="s">
        <v>21</v>
      </c>
      <c r="B14" s="9">
        <v>1.6949152542372881E-2</v>
      </c>
      <c r="C14" s="9">
        <v>0.17288135593220338</v>
      </c>
      <c r="D14" s="9">
        <v>1.0169491525423728E-2</v>
      </c>
      <c r="E14" s="9">
        <v>0.2</v>
      </c>
    </row>
    <row r="15" spans="1:5">
      <c r="A15" s="21" t="s">
        <v>20</v>
      </c>
      <c r="B15" s="9">
        <v>2.7118644067796609E-2</v>
      </c>
      <c r="C15" s="9">
        <v>0.14237288135593221</v>
      </c>
      <c r="D15" s="9">
        <v>2.3728813559322035E-2</v>
      </c>
      <c r="E15" s="9">
        <v>0.19322033898305085</v>
      </c>
    </row>
    <row r="16" spans="1:5">
      <c r="A16" s="21" t="s">
        <v>13</v>
      </c>
      <c r="B16" s="9">
        <v>1.6949152542372881E-2</v>
      </c>
      <c r="C16" s="9">
        <v>0.14576271186440679</v>
      </c>
      <c r="D16" s="9">
        <v>3.3898305084745763E-2</v>
      </c>
      <c r="E16" s="9">
        <v>0.19661016949152543</v>
      </c>
    </row>
    <row r="17" spans="1:5">
      <c r="A17" s="21" t="s">
        <v>14</v>
      </c>
      <c r="B17" s="9">
        <v>2.0338983050847456E-2</v>
      </c>
      <c r="C17" s="9">
        <v>0.13220338983050847</v>
      </c>
      <c r="D17" s="9">
        <v>3.3898305084745763E-2</v>
      </c>
      <c r="E17" s="9">
        <v>0.1864406779661017</v>
      </c>
    </row>
    <row r="18" spans="1:5">
      <c r="A18" s="21" t="s">
        <v>45</v>
      </c>
      <c r="B18" s="9">
        <v>0.10508474576271186</v>
      </c>
      <c r="C18" s="9">
        <v>0.76949152542372878</v>
      </c>
      <c r="D18" s="9">
        <v>0.12542372881355932</v>
      </c>
      <c r="E18" s="9">
        <v>1</v>
      </c>
    </row>
    <row r="23" spans="1:5">
      <c r="A23" s="20" t="s">
        <v>48</v>
      </c>
      <c r="B23" s="20" t="s">
        <v>46</v>
      </c>
    </row>
    <row r="24" spans="1:5">
      <c r="A24" s="20" t="s">
        <v>41</v>
      </c>
      <c r="B24" t="s">
        <v>42</v>
      </c>
      <c r="C24" t="s">
        <v>43</v>
      </c>
      <c r="D24" t="s">
        <v>44</v>
      </c>
      <c r="E24" t="s">
        <v>45</v>
      </c>
    </row>
    <row r="25" spans="1:5">
      <c r="A25" s="21" t="s">
        <v>22</v>
      </c>
      <c r="B25" s="9">
        <v>3.0508474576271188E-2</v>
      </c>
      <c r="C25" s="9">
        <v>0.32203389830508472</v>
      </c>
      <c r="D25" s="9">
        <v>2.3728813559322035E-2</v>
      </c>
      <c r="E25" s="9">
        <v>0.37627118644067797</v>
      </c>
    </row>
    <row r="26" spans="1:5">
      <c r="A26" s="21" t="s">
        <v>27</v>
      </c>
      <c r="B26" s="9">
        <v>5.0847457627118647E-2</v>
      </c>
      <c r="C26" s="9">
        <v>0.26440677966101694</v>
      </c>
      <c r="D26" s="9">
        <v>4.4067796610169491E-2</v>
      </c>
      <c r="E26" s="9">
        <v>0.35932203389830508</v>
      </c>
    </row>
    <row r="27" spans="1:5">
      <c r="A27" s="21" t="s">
        <v>15</v>
      </c>
      <c r="B27" s="9">
        <v>2.3728813559322035E-2</v>
      </c>
      <c r="C27" s="9">
        <v>0.18305084745762712</v>
      </c>
      <c r="D27" s="9">
        <v>5.7627118644067797E-2</v>
      </c>
      <c r="E27" s="9">
        <v>0.26440677966101694</v>
      </c>
    </row>
    <row r="28" spans="1:5">
      <c r="A28" s="21" t="s">
        <v>45</v>
      </c>
      <c r="B28" s="9">
        <v>0.10508474576271186</v>
      </c>
      <c r="C28" s="9">
        <v>0.76949152542372878</v>
      </c>
      <c r="D28" s="9">
        <v>0.12542372881355932</v>
      </c>
      <c r="E28" s="9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6793-63FE-1F47-8BE3-68CB27D6A970}">
  <dimension ref="A1:B7"/>
  <sheetViews>
    <sheetView workbookViewId="0">
      <selection activeCell="B11" sqref="B11"/>
    </sheetView>
  </sheetViews>
  <sheetFormatPr baseColWidth="10" defaultRowHeight="15"/>
  <cols>
    <col min="1" max="1" width="21.83203125" bestFit="1" customWidth="1"/>
    <col min="2" max="2" width="63.6640625" bestFit="1" customWidth="1"/>
  </cols>
  <sheetData>
    <row r="1" spans="1:2">
      <c r="A1" s="7" t="s">
        <v>31</v>
      </c>
      <c r="B1" s="7" t="s">
        <v>32</v>
      </c>
    </row>
    <row r="2" spans="1:2">
      <c r="A2" t="s">
        <v>33</v>
      </c>
      <c r="B2" s="4" t="s">
        <v>34</v>
      </c>
    </row>
    <row r="3" spans="1:2">
      <c r="A3" t="s">
        <v>35</v>
      </c>
      <c r="B3" t="s">
        <v>36</v>
      </c>
    </row>
    <row r="4" spans="1:2">
      <c r="A4" t="s">
        <v>37</v>
      </c>
      <c r="B4" t="s">
        <v>38</v>
      </c>
    </row>
    <row r="5" spans="1:2">
      <c r="A5" t="s">
        <v>9</v>
      </c>
      <c r="B5" t="s">
        <v>39</v>
      </c>
    </row>
    <row r="6" spans="1:2">
      <c r="A6" t="s">
        <v>8</v>
      </c>
      <c r="B6" t="s">
        <v>40</v>
      </c>
    </row>
    <row r="7" spans="1:2" ht="64">
      <c r="A7" s="22" t="s">
        <v>49</v>
      </c>
      <c r="B7" s="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FE52-3B30-AA48-86E9-50B9753061DB}">
  <dimension ref="A3:C20"/>
  <sheetViews>
    <sheetView workbookViewId="0">
      <selection activeCell="A3" sqref="A3"/>
    </sheetView>
  </sheetViews>
  <sheetFormatPr baseColWidth="10" defaultRowHeight="15"/>
  <sheetData>
    <row r="3" spans="1:3">
      <c r="A3" s="11"/>
      <c r="B3" s="12"/>
      <c r="C3" s="13"/>
    </row>
    <row r="4" spans="1:3">
      <c r="A4" s="14"/>
      <c r="B4" s="15"/>
      <c r="C4" s="16"/>
    </row>
    <row r="5" spans="1:3">
      <c r="A5" s="14"/>
      <c r="B5" s="15"/>
      <c r="C5" s="16"/>
    </row>
    <row r="6" spans="1:3">
      <c r="A6" s="14"/>
      <c r="B6" s="15"/>
      <c r="C6" s="16"/>
    </row>
    <row r="7" spans="1:3">
      <c r="A7" s="14"/>
      <c r="B7" s="15"/>
      <c r="C7" s="16"/>
    </row>
    <row r="8" spans="1:3">
      <c r="A8" s="14"/>
      <c r="B8" s="15"/>
      <c r="C8" s="16"/>
    </row>
    <row r="9" spans="1:3">
      <c r="A9" s="14"/>
      <c r="B9" s="15"/>
      <c r="C9" s="16"/>
    </row>
    <row r="10" spans="1:3">
      <c r="A10" s="14"/>
      <c r="B10" s="15"/>
      <c r="C10" s="16"/>
    </row>
    <row r="11" spans="1:3">
      <c r="A11" s="14"/>
      <c r="B11" s="15"/>
      <c r="C11" s="16"/>
    </row>
    <row r="12" spans="1:3">
      <c r="A12" s="14"/>
      <c r="B12" s="15"/>
      <c r="C12" s="16"/>
    </row>
    <row r="13" spans="1:3">
      <c r="A13" s="14"/>
      <c r="B13" s="15"/>
      <c r="C13" s="16"/>
    </row>
    <row r="14" spans="1:3">
      <c r="A14" s="14"/>
      <c r="B14" s="15"/>
      <c r="C14" s="16"/>
    </row>
    <row r="15" spans="1:3">
      <c r="A15" s="14"/>
      <c r="B15" s="15"/>
      <c r="C15" s="16"/>
    </row>
    <row r="16" spans="1:3">
      <c r="A16" s="14"/>
      <c r="B16" s="15"/>
      <c r="C16" s="16"/>
    </row>
    <row r="17" spans="1:3">
      <c r="A17" s="14"/>
      <c r="B17" s="15"/>
      <c r="C17" s="16"/>
    </row>
    <row r="18" spans="1:3">
      <c r="A18" s="14"/>
      <c r="B18" s="15"/>
      <c r="C18" s="16"/>
    </row>
    <row r="19" spans="1:3">
      <c r="A19" s="14"/>
      <c r="B19" s="15"/>
      <c r="C19" s="16"/>
    </row>
    <row r="20" spans="1:3">
      <c r="A20" s="17"/>
      <c r="B20" s="18"/>
      <c r="C2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 Data</vt:lpstr>
      <vt:lpstr>Pivot Tables</vt:lpstr>
      <vt:lpstr>Assumptions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PARWANDA Navita</dc:creator>
  <cp:lastModifiedBy>Linh Le</cp:lastModifiedBy>
  <dcterms:created xsi:type="dcterms:W3CDTF">2026-06-03T13:23:48Z</dcterms:created>
  <dcterms:modified xsi:type="dcterms:W3CDTF">2026-06-30T13:10:25Z</dcterms:modified>
</cp:coreProperties>
</file>